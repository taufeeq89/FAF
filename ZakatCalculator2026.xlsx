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1c248cf2a933b3a6/Desktop/"/>
    </mc:Choice>
  </mc:AlternateContent>
  <xr:revisionPtr revIDLastSave="5" documentId="8_{A75076AC-F53D-4E86-A8AF-B37329EC9523}" xr6:coauthVersionLast="47" xr6:coauthVersionMax="47" xr10:uidLastSave="{FB3C202C-D4AE-4D9E-B857-5744445186D6}"/>
  <bookViews>
    <workbookView xWindow="-110" yWindow="-110" windowWidth="19420" windowHeight="11500" tabRatio="520" activeTab="1" xr2:uid="{A86383A0-F6B3-466A-ABE0-682865C9084F}"/>
  </bookViews>
  <sheets>
    <sheet name="Calculations" sheetId="1" r:id="rId1"/>
    <sheet name="Sheet1" sheetId="3" r:id="rId2"/>
    <sheet name="Summary and Instructions" sheetId="2" r:id="rId3"/>
  </sheets>
  <definedNames>
    <definedName name="_xlnm.Print_Area" localSheetId="0">Calculations!$A$1:$F$64</definedName>
    <definedName name="_xlnm.Print_Titles" localSheetId="0">Calculations!$3:$3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1" l="1"/>
  <c r="E5" i="1"/>
  <c r="F5" i="1" s="1"/>
  <c r="C35" i="3"/>
  <c r="D32" i="3"/>
  <c r="D14" i="3"/>
  <c r="E6" i="1"/>
  <c r="F6" i="1" s="1"/>
  <c r="E7" i="1"/>
  <c r="F7" i="1" s="1"/>
  <c r="F8" i="1"/>
  <c r="F33" i="1"/>
  <c r="F11" i="1"/>
  <c r="E14" i="1"/>
  <c r="F14" i="1" s="1"/>
  <c r="F17" i="1"/>
  <c r="F18" i="1"/>
  <c r="F19" i="1"/>
  <c r="F20" i="1"/>
  <c r="F23" i="1"/>
  <c r="F24" i="1"/>
  <c r="F25" i="1"/>
  <c r="F26" i="1"/>
  <c r="F27" i="1"/>
  <c r="F28" i="1"/>
  <c r="F29" i="1"/>
  <c r="F30" i="1"/>
  <c r="E41" i="1"/>
  <c r="F41" i="1" s="1"/>
  <c r="E48" i="1"/>
  <c r="F48" i="1"/>
  <c r="F51" i="1"/>
  <c r="F52" i="1"/>
  <c r="F53" i="1"/>
  <c r="F56" i="1"/>
  <c r="E62" i="1"/>
  <c r="F62" i="1" s="1"/>
  <c r="F6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B4" authorId="0" shapeId="0" xr:uid="{7FD86646-91D3-4821-8DDF-98D2F44825FA}">
      <text>
        <r>
          <rPr>
            <sz val="8"/>
            <color indexed="81"/>
            <rFont val="Tahoma"/>
          </rPr>
          <t>You will need to find out the market price as of today and insert the same in Price/Gm</t>
        </r>
      </text>
    </comment>
    <comment ref="D5" authorId="0" shapeId="0" xr:uid="{9293D9AA-D4DE-4031-946B-A28F5E886026}">
      <text>
        <r>
          <rPr>
            <sz val="8"/>
            <color indexed="81"/>
            <rFont val="Tahoma"/>
          </rPr>
          <t xml:space="preserve">These are just notional Values, please check current market price and insert it here
</t>
        </r>
      </text>
    </comment>
    <comment ref="D6" authorId="0" shapeId="0" xr:uid="{20FF9CCB-8180-4EFA-B28B-2541FFFD08F2}">
      <text>
        <r>
          <rPr>
            <sz val="8"/>
            <color indexed="81"/>
            <rFont val="Tahoma"/>
          </rPr>
          <t xml:space="preserve">These are just notional Values, please check current market price and insert it here
</t>
        </r>
      </text>
    </comment>
    <comment ref="D7" authorId="0" shapeId="0" xr:uid="{AF9CAFC0-8C34-4820-B35D-0AE7C6AA2D95}">
      <text>
        <r>
          <rPr>
            <sz val="8"/>
            <color indexed="81"/>
            <rFont val="Tahoma"/>
          </rPr>
          <t xml:space="preserve">These are just notional Values, please check current market price and insert it here
</t>
        </r>
      </text>
    </comment>
    <comment ref="B13" authorId="0" shapeId="0" xr:uid="{061AC80D-C49D-4BCF-97E5-CF129E7457F2}">
      <text>
        <r>
          <rPr>
            <sz val="8"/>
            <color indexed="81"/>
            <rFont val="Tahoma"/>
          </rPr>
          <t xml:space="preserve">Please find out the value of Silver per Gm and insert it in Price/Gm Column
</t>
        </r>
      </text>
    </comment>
    <comment ref="D14" authorId="0" shapeId="0" xr:uid="{10ADB0E8-2745-4775-8CAA-1CFDE6F874D7}">
      <text>
        <r>
          <rPr>
            <sz val="8"/>
            <color indexed="81"/>
            <rFont val="Tahoma"/>
          </rPr>
          <t xml:space="preserve">These are just notional Values, please check current market price and insert it here
</t>
        </r>
      </text>
    </comment>
    <comment ref="B22" authorId="0" shapeId="0" xr:uid="{ADF10314-0D79-48F1-A0A4-2A3A26A04FFE}">
      <text>
        <r>
          <rPr>
            <sz val="8"/>
            <color indexed="81"/>
            <rFont val="Tahoma"/>
          </rPr>
          <t>List out your entire sources of wealth.  Even money receivable given as a loan to someone is to be calculated for zakat purposes</t>
        </r>
      </text>
    </comment>
    <comment ref="B43" authorId="0" shapeId="0" xr:uid="{575A03A7-D0B1-4227-9879-138785653D1E}">
      <text>
        <r>
          <rPr>
            <sz val="8"/>
            <color indexed="81"/>
            <rFont val="Tahoma"/>
          </rPr>
          <t xml:space="preserve"> If your company as a whole pays zakat then you need not calculate personal zakat.  If not then you have to see your personal share in the firm and pay zakat on that percentage.
</t>
        </r>
      </text>
    </comment>
    <comment ref="B56" authorId="0" shapeId="0" xr:uid="{2D294595-B6EB-42E4-9486-BC57CA247348}">
      <text>
        <r>
          <rPr>
            <sz val="8"/>
            <color indexed="81"/>
            <rFont val="Tahoma"/>
          </rPr>
          <t xml:space="preserve">The calculation Fish Farming and Poultry Birds is a little bit complicated.  Pls contact your Local Aalim for the right calculations.
</t>
        </r>
      </text>
    </comment>
  </commentList>
</comments>
</file>

<file path=xl/sharedStrings.xml><?xml version="1.0" encoding="utf-8"?>
<sst xmlns="http://schemas.openxmlformats.org/spreadsheetml/2006/main" count="116" uniqueCount="111">
  <si>
    <t>Zakat Calculator</t>
  </si>
  <si>
    <t>Weight in GMS</t>
  </si>
  <si>
    <t>Price/Gm</t>
  </si>
  <si>
    <t>Estimated Value</t>
  </si>
  <si>
    <t>Zakat Payable</t>
  </si>
  <si>
    <t>ZAKAT ON GOLD</t>
  </si>
  <si>
    <t>24 Carat Gold/Jewelry</t>
  </si>
  <si>
    <t>22 Carat Gold/Jewelery</t>
  </si>
  <si>
    <t>18 Carat Gold/Jewelry</t>
  </si>
  <si>
    <t>Other Gold Valuables.  (Pls insert the Current Estimated Value)</t>
  </si>
  <si>
    <t>ZAKAT ON PRECIOUS STONES</t>
  </si>
  <si>
    <t>Calculate the nett Market Value of the Precious stones like Diamonds, Rubies, Etc. and add them to the Estimated Value Column</t>
  </si>
  <si>
    <t>ZAKAT ON SILVER</t>
  </si>
  <si>
    <t>Include Household Silver Utensils, Artefacts, and Jewelery.  For Utensils, usually the silver is 90% pure so take 90% of the total weight</t>
  </si>
  <si>
    <t>ZAKAT ON CASH IN HAND /BANK</t>
  </si>
  <si>
    <t>Actual Value</t>
  </si>
  <si>
    <t>Cash in Hand</t>
  </si>
  <si>
    <t>Cash in Bank in Savings Accounts</t>
  </si>
  <si>
    <t>Cash in Bank in Current Accounts</t>
  </si>
  <si>
    <t>Cash held in Fixed Deposits</t>
  </si>
  <si>
    <t>ZAKAT ON LOANS / INVESTMENTS/ FUNDS/ SHARES, ETC</t>
  </si>
  <si>
    <t>Loans Receivable from Friends and Relatives</t>
  </si>
  <si>
    <t>Investment in Govt Bonds</t>
  </si>
  <si>
    <t>Provident Fund Contribution to date.</t>
  </si>
  <si>
    <t>Insurance Premiums including bonus up to date</t>
  </si>
  <si>
    <t>Value of Shares (stocks) including Dividends. Take their market value on the date of calculation</t>
  </si>
  <si>
    <t>Government Security Deposits, ADRs, etc</t>
  </si>
  <si>
    <t>Investment in Private Chits, Funds, etc</t>
  </si>
  <si>
    <t>Other Sources of Wealth</t>
  </si>
  <si>
    <t>ZAKAT ON LANDED PROPERTY</t>
  </si>
  <si>
    <t>Estimate Value</t>
  </si>
  <si>
    <t>Landed Property held as an Investment / Business (Estimate the current Maket Value)</t>
  </si>
  <si>
    <t>ZAKAT ON BUSINESS</t>
  </si>
  <si>
    <t>Value of Saleable Stock</t>
  </si>
  <si>
    <t>Value of Damaged / Dead Stock</t>
  </si>
  <si>
    <t>Amount Receivable from Credit Sales</t>
  </si>
  <si>
    <t>LESS: Amount Payable to Suppliers (Credit taken from suppliers for stocking goods)</t>
  </si>
  <si>
    <t>LESS: Bad Debts</t>
  </si>
  <si>
    <t>TOTAL VALUE OF STOCK</t>
  </si>
  <si>
    <t>ZAKAT ON SHARE IN PARTNERSHIP FIRMS</t>
  </si>
  <si>
    <t>Capital Balance as per Last balance Sheet</t>
  </si>
  <si>
    <t>Loans Advanced by you to the Firm as of Date</t>
  </si>
  <si>
    <t>LESS:  Withdrawals made by you during the current Year.</t>
  </si>
  <si>
    <t>Accumulated Profit from the date of Balance Sheet to this Date (Estimate the Profit Value as it is difficult to get exact figures in the middle of Accounting Year)</t>
  </si>
  <si>
    <t>NETT TOTAL WORTH CALCULATED</t>
  </si>
  <si>
    <t>ZAKAT ON AGRICULTURAL PRODUCE</t>
  </si>
  <si>
    <t>Value of Produce</t>
  </si>
  <si>
    <t>Produce Dependent on Rain Water - @ 10% of product (crop) in Value or Kind</t>
  </si>
  <si>
    <t>Produce totally dependent on Artificial Irrigation like Canal, Tank, Borewell, etc. - @ 5% of Produce (crop) in Value or in Kind</t>
  </si>
  <si>
    <t>Produce dependent Partially on Rain Water and Partially on Artificial Irrigation - 7.5% of the Produce Value or in Kind</t>
  </si>
  <si>
    <t>ZAKAT ON ANIMALS &amp; POULTRY &amp; FISH FARMING</t>
  </si>
  <si>
    <t>Total Value</t>
  </si>
  <si>
    <t>Animals/ Birds more than 6 months Old -  @ 1 Animal or Bird PER 40 either in Kind or Value of the same.</t>
  </si>
  <si>
    <t>Loans taken from from Friends / Relatives</t>
  </si>
  <si>
    <t>Loans Taken from Banks / Institutions</t>
  </si>
  <si>
    <t>Income Tax / Wealth Tax Payable</t>
  </si>
  <si>
    <t>TOTAL LIABILITIES</t>
  </si>
  <si>
    <t>TOTAL ZAKAT PAYABLE</t>
  </si>
  <si>
    <t>Zakat on Pure Gold and Gold Jewellery</t>
  </si>
  <si>
    <t>Zakat on Precious and Semi-Precious Stones</t>
  </si>
  <si>
    <t>Zakat on Silver.</t>
  </si>
  <si>
    <t>Zakat is to be paid on Silver in Pure form or Jewellery, Utensils, Decorative items and all household items including crockery, cutlery made of silver at 2.5% of the prevailing market rates.</t>
  </si>
  <si>
    <t>Zakat on Cash and Bank Balances</t>
  </si>
  <si>
    <t>Zakat on Loans Given, Funds, etc</t>
  </si>
  <si>
    <t>Zakat on Landed Property</t>
  </si>
  <si>
    <t>Zakat on Business:</t>
  </si>
  <si>
    <t>Zakat on Partnership Firms.</t>
  </si>
  <si>
    <t>Zakat on Agricultural Product</t>
  </si>
  <si>
    <t>Zakat on Animals</t>
  </si>
  <si>
    <t>Liabilities Deductions</t>
  </si>
  <si>
    <r>
      <t>GENERAL LIABILITIES</t>
    </r>
    <r>
      <rPr>
        <sz val="10"/>
        <color indexed="10"/>
        <rFont val="Arial"/>
        <family val="2"/>
      </rPr>
      <t xml:space="preserve"> -</t>
    </r>
    <r>
      <rPr>
        <sz val="10"/>
        <color indexed="8"/>
        <rFont val="Arial"/>
        <family val="2"/>
      </rPr>
      <t xml:space="preserve"> You need to deduct your direct Payables or Liabilities which are not deducted above</t>
    </r>
  </si>
  <si>
    <t>(Use Only YELLOW cells to fill Values. Please refer to the Appendix Sheet for more explanations on Each Section)</t>
  </si>
  <si>
    <t>Zakat should be calculated at 2.5% of the market value as on the date of valuation (In our case we consider 1st of Ramadhan).  Most Ulema favour the Market Value prevailing as on the date of Calculation and not the purchase price.</t>
  </si>
  <si>
    <t>A Reduction of 2% from the weight of Jewellery can be allowed towards studded stones jewellery &amp; 25% from the weight of KUNDAN Jewellery.</t>
  </si>
  <si>
    <t>There is some contention on whether these are to be considered for valuation.  In my humble opinion if they have a value, then they calculate towards your wealth, and it is on the wealth that Zakat is mandatory.</t>
  </si>
  <si>
    <t>One may calculate the saleable value of Items at hand on the date of Zakat Calculation.</t>
  </si>
  <si>
    <t>Zakat should be paid at 2.5% on all cash balance and bank balances in your savings, current or FD accounts. The amount technically should be in the bank for one year.  Usually it happens that the balance keeps on changing as per personal requirements.</t>
  </si>
  <si>
    <t xml:space="preserve">Zakat is payable on all Govt Bonds, Public Sector Bond, paid-up Insurance premiums, your paid-up portion of Provident Funds, Govt Bills receivables, etc.  </t>
  </si>
  <si>
    <t>Zakat is not payable on personal residential House even if you have more than one and meant for residential purpose only.  Also Zakat is not applicable on Property given on rent irrespective of how many. However Zakat is payable on the rental income.</t>
  </si>
  <si>
    <t>You may make your best judgement and the best way is to pay on remaining amount on the day of calculation</t>
  </si>
  <si>
    <t>However if your intention of holding properties is to sell at a future date for a profit or as an investment, then Zakat is payable on the Market Value.  Also, if your intention of holding properties changes in the current year, I.e. from self use to business then you need to pay Zakat on that Property Value</t>
  </si>
  <si>
    <t>This is for Business Persons only. No matter what business you are into, you've got to pay Zakat on all STOCK-IN-TRADE.  The stock must be valued at its Landed Cost Price. If you have any  bills receivable (sales given on credit) then you need to add the same towards calculations.</t>
  </si>
  <si>
    <t xml:space="preserve">Deduct the Amounts due to your suppliers and deduct the loans on stock on the date of calculation.  Dead Stock should be calculated on scrap value or its saleable value.  Damaged stock should also be valued at its scrap value.  </t>
  </si>
  <si>
    <t>There is no Zakat on Factory Buildings or any kind of machinery, but there is zakat on products produced in the factory (i.e. finished goods value).  Please refer to a competent Moulvi or a scholar who can shed more light on your specific issues.</t>
  </si>
  <si>
    <t>Zakat can be paid EITHER by the firm OR separately by the owners.  If the firm is not paying, and the partner wants to calculate his share, he should take the amount standing to his capital and loan account as per the last balance sheet. Add his estimated share of profit till the date zakat is calculated.</t>
  </si>
  <si>
    <t>This can only be estimated as it is difficult to calculate the exact profit or loss between an accounting year.</t>
  </si>
  <si>
    <t>Zakat is payable on all Agricultural produce including fruits, commercially grown flowers, vegetables and all types of grains at the harvest time itself.  The passing of One year does not apply for agrultural produce.  If there are two or more crops on the same land per year, then Zakat has to be paid as many times on the crop, irrespective of the time.</t>
  </si>
  <si>
    <t>The formula for Zakat calculation on Agriculture is as follows:</t>
  </si>
  <si>
    <t xml:space="preserve">On crops dependent purely on rain water it will be 10% of produce,   On crops not irrigated through rain water but use Canal Water, Tank Water, Borewell and Open wells, the Zakat is 5% of the produce.  For Crops dependent partly on Rain Water and partly on other water, the Zakat applicable would be 7.5% of produce.    </t>
  </si>
  <si>
    <t>On all grazing animals like goats, shee, camel, cows, broiler chickens, the consensus Zakat payable is one animal/bird for every 40 animals owned. However you may wish to give cash in lieu of the animal/bird itself.</t>
  </si>
  <si>
    <t>Please consult your local Scholar or Maulvi or Imaam who can guide you to the right direction, or refer to books of Fiqh if you would like to have first hand confirmation of the situation.</t>
  </si>
  <si>
    <t xml:space="preserve"> If you have any pending tax payable to the govt, as of the date of Zakat Calculation, then the same may be deducted before arriving at the net worth.  If you have taken any loans from any person or institution, and if you have not already deducted the same from any of the above sections, then you can deduct your Payables over here.  Please be truthful, as Zakat is a sure way of protecting ones wealth if Zakat has been paid on it regularly and fully.</t>
  </si>
  <si>
    <t>Zakat is payable by you on loans you have given to your friends and relatives.  It should be treated as Cash in Hand.  You may deduct Loans Payable by you to arrive at the nett present value of your wealth.</t>
  </si>
  <si>
    <t xml:space="preserve">Be honest in the calculations, as ZAKAT is an INSURANCE on your STOCK directly from ALLAH and who better an insurer than Him.  </t>
  </si>
  <si>
    <t>FOOTNOTE:  Please note that Interest in any form is Haram and strictly prohibited.  So please stay away from taking Loans on Interests AND Collection of Interests from any body or institution.</t>
  </si>
  <si>
    <t>Dear Brothers &amp; Sisters,</t>
  </si>
  <si>
    <t>Alhamdulillah, the month of Ramadhan has been bestowed upon us by Allah.  ZAKAT is one of the five fundamental pillars of Islam, mandatory on all muslims who are of eligible wealth.  Zakat is due from and payable by a person on his wealth (and not his income), which has remained with him/her for one Islamic year.</t>
  </si>
  <si>
    <t>It is difficult to calculate the completion of one year on each item of wealth, because purchase dates may vary.  To overcome this difficulty, a practical method is to fix a date (e.g. 1st of Ramadhan), compute your total wealth on that date and calculate Zakat, thereon.</t>
  </si>
  <si>
    <t xml:space="preserve">The attached spreadsheet is a humble attempt at making the calculation process simple and consolidated, for all brothers and sisters who are fortunate to be worthy of paying Zakat.  If there are any errors, its purely due to my incomprehension and may be brought to my notice immdtly by email at ajameel@yahoo.com.  Please remember me in your supplications and may Allah give us all the rewards of both worlds. Aameen. </t>
  </si>
  <si>
    <r>
      <t xml:space="preserve">Yours Brother in Islam,  </t>
    </r>
    <r>
      <rPr>
        <b/>
        <sz val="10"/>
        <rFont val="Arial"/>
        <family val="2"/>
      </rPr>
      <t>Arif Jameel.</t>
    </r>
  </si>
  <si>
    <t>Details of Each Section to be used in conjunction with the Calculation Spreadsheet.</t>
  </si>
  <si>
    <t xml:space="preserve">Vanguard </t>
  </si>
  <si>
    <t>cash</t>
  </si>
  <si>
    <t>Stock</t>
  </si>
  <si>
    <t>Rashik</t>
  </si>
  <si>
    <t>Fideliit</t>
  </si>
  <si>
    <t>pnc</t>
  </si>
  <si>
    <t>etrad</t>
  </si>
  <si>
    <t>robinhood</t>
  </si>
  <si>
    <t xml:space="preserve">nisab threshold </t>
  </si>
  <si>
    <t>87g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</si>
</sst>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5" formatCode="#,###.00"/>
  </numFmts>
  <fonts count="15" x14ac:knownFonts="1">
    <font>
      <sz val="10"/>
      <name val="Arial"/>
    </font>
    <font>
      <sz val="10"/>
      <name val="Arial"/>
    </font>
    <font>
      <sz val="10"/>
      <color indexed="10"/>
      <name val="Arial"/>
      <family val="2"/>
    </font>
    <font>
      <b/>
      <sz val="10"/>
      <name val="Arial"/>
      <family val="2"/>
    </font>
    <font>
      <b/>
      <sz val="12"/>
      <name val="Arial"/>
      <family val="2"/>
    </font>
    <font>
      <b/>
      <sz val="12"/>
      <color indexed="18"/>
      <name val="Arial"/>
      <family val="2"/>
    </font>
    <font>
      <b/>
      <sz val="14"/>
      <color indexed="18"/>
      <name val="Arial"/>
      <family val="2"/>
    </font>
    <font>
      <b/>
      <sz val="10"/>
      <color indexed="10"/>
      <name val="Arial"/>
      <family val="2"/>
    </font>
    <font>
      <sz val="8"/>
      <color indexed="81"/>
      <name val="Tahoma"/>
    </font>
    <font>
      <b/>
      <sz val="10"/>
      <name val="Arial"/>
      <family val="2"/>
    </font>
    <font>
      <b/>
      <sz val="12"/>
      <color indexed="18"/>
      <name val="Arial"/>
      <family val="2"/>
    </font>
    <font>
      <b/>
      <sz val="10"/>
      <color indexed="12"/>
      <name val="Arial"/>
      <family val="2"/>
    </font>
    <font>
      <sz val="10"/>
      <color indexed="8"/>
      <name val="Arial"/>
      <family val="2"/>
    </font>
    <font>
      <sz val="8"/>
      <name val="Arial"/>
      <family val="2"/>
    </font>
    <font>
      <sz val="10"/>
      <name val="Arial"/>
      <family val="2"/>
    </font>
  </fonts>
  <fills count="5">
    <fill>
      <patternFill patternType="none"/>
    </fill>
    <fill>
      <patternFill patternType="gray125"/>
    </fill>
    <fill>
      <patternFill patternType="solid">
        <fgColor indexed="43"/>
        <bgColor indexed="31"/>
      </patternFill>
    </fill>
    <fill>
      <patternFill patternType="solid">
        <fgColor indexed="42"/>
        <bgColor indexed="64"/>
      </patternFill>
    </fill>
    <fill>
      <patternFill patternType="solid">
        <fgColor indexed="42"/>
        <bgColor indexed="31"/>
      </patternFill>
    </fill>
  </fills>
  <borders count="6">
    <border>
      <left/>
      <right/>
      <top/>
      <bottom/>
      <diagonal/>
    </border>
    <border>
      <left style="dashed">
        <color indexed="16"/>
      </left>
      <right style="dashed">
        <color indexed="16"/>
      </right>
      <top style="dashed">
        <color indexed="16"/>
      </top>
      <bottom style="dashed">
        <color indexed="16"/>
      </bottom>
      <diagonal/>
    </border>
    <border>
      <left style="dashed">
        <color indexed="16"/>
      </left>
      <right style="dashed">
        <color indexed="16"/>
      </right>
      <top style="dashed">
        <color indexed="16"/>
      </top>
      <bottom style="dashed">
        <color indexed="64"/>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67">
    <xf numFmtId="0" fontId="0" fillId="0" borderId="0" xfId="0"/>
    <xf numFmtId="43" fontId="0" fillId="2" borderId="1" xfId="1" applyNumberFormat="1" applyFont="1" applyFill="1" applyBorder="1" applyProtection="1">
      <protection locked="0"/>
    </xf>
    <xf numFmtId="43" fontId="0" fillId="2" borderId="1" xfId="1" applyNumberFormat="1" applyFont="1" applyFill="1" applyBorder="1" applyAlignment="1" applyProtection="1">
      <alignment horizontal="right"/>
      <protection locked="0"/>
    </xf>
    <xf numFmtId="43" fontId="0" fillId="2" borderId="2" xfId="1" applyNumberFormat="1" applyFont="1" applyFill="1" applyBorder="1" applyProtection="1">
      <protection locked="0"/>
    </xf>
    <xf numFmtId="43" fontId="0" fillId="2" borderId="2" xfId="1" applyNumberFormat="1" applyFont="1" applyFill="1" applyBorder="1" applyAlignment="1" applyProtection="1">
      <alignment horizontal="right"/>
      <protection locked="0"/>
    </xf>
    <xf numFmtId="0" fontId="0" fillId="0" borderId="0" xfId="0" applyAlignment="1">
      <alignment vertical="top" wrapText="1"/>
    </xf>
    <xf numFmtId="0" fontId="0" fillId="0" borderId="0" xfId="0" applyAlignment="1">
      <alignment wrapText="1"/>
    </xf>
    <xf numFmtId="0" fontId="9" fillId="0" borderId="0" xfId="0" applyFont="1" applyAlignment="1">
      <alignment wrapText="1"/>
    </xf>
    <xf numFmtId="0" fontId="9" fillId="0" borderId="3" xfId="0" applyFont="1" applyBorder="1"/>
    <xf numFmtId="0" fontId="9" fillId="0" borderId="3" xfId="0" applyFont="1" applyBorder="1" applyAlignment="1">
      <alignment wrapText="1"/>
    </xf>
    <xf numFmtId="0" fontId="9" fillId="0" borderId="0" xfId="0" applyFont="1"/>
    <xf numFmtId="0" fontId="0" fillId="0" borderId="0" xfId="0" applyAlignment="1">
      <alignment horizontal="left" vertical="top"/>
    </xf>
    <xf numFmtId="0" fontId="9" fillId="0" borderId="3" xfId="0" applyFont="1" applyBorder="1" applyAlignment="1">
      <alignment horizontal="left" vertical="top"/>
    </xf>
    <xf numFmtId="0" fontId="0" fillId="3" borderId="0" xfId="0" applyFill="1" applyProtection="1"/>
    <xf numFmtId="0" fontId="0" fillId="3" borderId="0" xfId="0" applyFill="1" applyAlignment="1" applyProtection="1">
      <alignment horizontal="center" vertical="center"/>
    </xf>
    <xf numFmtId="0" fontId="0" fillId="3" borderId="0" xfId="0" applyFill="1" applyAlignment="1" applyProtection="1">
      <alignment wrapText="1"/>
    </xf>
    <xf numFmtId="185" fontId="0" fillId="3" borderId="0" xfId="0" applyNumberFormat="1" applyFill="1" applyAlignment="1" applyProtection="1">
      <alignment horizontal="right"/>
    </xf>
    <xf numFmtId="43" fontId="9" fillId="3" borderId="0" xfId="0" applyNumberFormat="1" applyFont="1" applyFill="1" applyProtection="1"/>
    <xf numFmtId="0" fontId="0" fillId="3" borderId="0" xfId="0" applyNumberFormat="1" applyFill="1" applyProtection="1"/>
    <xf numFmtId="185" fontId="9" fillId="3" borderId="0" xfId="0" applyNumberFormat="1" applyFont="1" applyFill="1" applyProtection="1"/>
    <xf numFmtId="0" fontId="11" fillId="3" borderId="3" xfId="0" applyFont="1" applyFill="1" applyBorder="1" applyAlignment="1" applyProtection="1">
      <alignment horizontal="center" vertical="center"/>
    </xf>
    <xf numFmtId="0" fontId="0" fillId="3" borderId="3" xfId="0" applyNumberFormat="1" applyFill="1" applyBorder="1" applyProtection="1"/>
    <xf numFmtId="185" fontId="0" fillId="3" borderId="3" xfId="0" applyNumberFormat="1" applyFill="1" applyBorder="1" applyAlignment="1" applyProtection="1">
      <alignment horizontal="right"/>
    </xf>
    <xf numFmtId="185" fontId="9" fillId="3" borderId="3" xfId="0" applyNumberFormat="1" applyFont="1" applyFill="1" applyBorder="1" applyProtection="1"/>
    <xf numFmtId="0" fontId="0" fillId="3" borderId="3" xfId="0" applyFill="1" applyBorder="1" applyProtection="1"/>
    <xf numFmtId="0" fontId="2" fillId="3" borderId="0" xfId="0" applyFont="1" applyFill="1" applyProtection="1"/>
    <xf numFmtId="185" fontId="2" fillId="3" borderId="0" xfId="0" applyNumberFormat="1" applyFont="1" applyFill="1" applyAlignment="1" applyProtection="1">
      <alignment horizontal="right"/>
    </xf>
    <xf numFmtId="0" fontId="3" fillId="3" borderId="0" xfId="0" applyFont="1" applyFill="1" applyProtection="1"/>
    <xf numFmtId="185" fontId="3" fillId="3" borderId="0" xfId="0" applyNumberFormat="1" applyFont="1" applyFill="1" applyAlignment="1" applyProtection="1">
      <alignment horizontal="right"/>
    </xf>
    <xf numFmtId="185" fontId="9" fillId="4" borderId="3" xfId="0" applyNumberFormat="1" applyFont="1" applyFill="1" applyBorder="1" applyProtection="1"/>
    <xf numFmtId="185" fontId="3" fillId="3" borderId="3" xfId="0" applyNumberFormat="1" applyFont="1" applyFill="1" applyBorder="1" applyAlignment="1" applyProtection="1">
      <alignment horizontal="right"/>
    </xf>
    <xf numFmtId="0" fontId="7" fillId="3" borderId="0" xfId="0" applyFont="1" applyFill="1" applyAlignment="1" applyProtection="1">
      <alignment horizontal="center" vertical="center"/>
    </xf>
    <xf numFmtId="0" fontId="2" fillId="3" borderId="3" xfId="0" applyFont="1" applyFill="1" applyBorder="1" applyProtection="1"/>
    <xf numFmtId="185" fontId="2" fillId="3" borderId="3" xfId="0" applyNumberFormat="1" applyFont="1" applyFill="1" applyBorder="1" applyAlignment="1" applyProtection="1">
      <alignment horizontal="right"/>
    </xf>
    <xf numFmtId="185" fontId="7" fillId="3" borderId="3" xfId="0" applyNumberFormat="1" applyFont="1" applyFill="1" applyBorder="1" applyProtection="1"/>
    <xf numFmtId="185" fontId="7" fillId="3" borderId="0" xfId="0" applyNumberFormat="1" applyFont="1" applyFill="1" applyProtection="1"/>
    <xf numFmtId="0" fontId="9" fillId="3" borderId="0" xfId="0" applyFont="1" applyFill="1" applyProtection="1"/>
    <xf numFmtId="0" fontId="7" fillId="3" borderId="0" xfId="0" applyFont="1" applyFill="1" applyProtection="1"/>
    <xf numFmtId="185" fontId="7" fillId="3" borderId="0" xfId="0" applyNumberFormat="1" applyFont="1" applyFill="1" applyAlignment="1" applyProtection="1">
      <alignment horizontal="right"/>
    </xf>
    <xf numFmtId="185" fontId="7" fillId="3" borderId="3" xfId="0" applyNumberFormat="1" applyFont="1" applyFill="1" applyBorder="1" applyAlignment="1" applyProtection="1">
      <alignment horizontal="right"/>
    </xf>
    <xf numFmtId="0" fontId="5" fillId="3" borderId="3" xfId="0" applyFont="1" applyFill="1" applyBorder="1" applyAlignment="1" applyProtection="1">
      <alignment horizontal="center" vertical="center"/>
    </xf>
    <xf numFmtId="0" fontId="5" fillId="3" borderId="3" xfId="0" applyFont="1" applyFill="1" applyBorder="1" applyProtection="1"/>
    <xf numFmtId="185" fontId="5" fillId="3" borderId="3" xfId="0" applyNumberFormat="1" applyFont="1" applyFill="1" applyBorder="1" applyAlignment="1" applyProtection="1">
      <alignment horizontal="right"/>
    </xf>
    <xf numFmtId="185" fontId="10" fillId="3" borderId="3" xfId="0" applyNumberFormat="1" applyFont="1" applyFill="1" applyBorder="1" applyProtection="1"/>
    <xf numFmtId="0" fontId="4" fillId="3" borderId="0" xfId="0" applyFont="1" applyFill="1" applyProtection="1"/>
    <xf numFmtId="0" fontId="0" fillId="3" borderId="0" xfId="0" applyFill="1" applyAlignment="1" applyProtection="1">
      <alignment horizontal="right"/>
    </xf>
    <xf numFmtId="0" fontId="11" fillId="3" borderId="4" xfId="0" applyFont="1" applyFill="1" applyBorder="1" applyAlignment="1" applyProtection="1">
      <alignment vertical="center" wrapText="1"/>
      <protection locked="0"/>
    </xf>
    <xf numFmtId="0" fontId="0" fillId="3" borderId="0" xfId="0" applyFill="1" applyAlignment="1" applyProtection="1">
      <alignment wrapText="1"/>
      <protection locked="0"/>
    </xf>
    <xf numFmtId="0" fontId="11" fillId="3" borderId="3" xfId="0" applyFont="1" applyFill="1" applyBorder="1" applyAlignment="1" applyProtection="1">
      <alignment vertical="center" wrapText="1"/>
      <protection locked="0"/>
    </xf>
    <xf numFmtId="0" fontId="2" fillId="3" borderId="0" xfId="0" applyFont="1" applyFill="1" applyAlignment="1" applyProtection="1">
      <alignment wrapText="1"/>
      <protection locked="0"/>
    </xf>
    <xf numFmtId="0" fontId="3" fillId="3" borderId="0" xfId="0" applyFont="1" applyFill="1" applyAlignment="1" applyProtection="1">
      <alignment wrapText="1"/>
      <protection locked="0"/>
    </xf>
    <xf numFmtId="0" fontId="7" fillId="3" borderId="3" xfId="0" applyFont="1" applyFill="1" applyBorder="1" applyAlignment="1" applyProtection="1">
      <alignment wrapText="1"/>
      <protection locked="0"/>
    </xf>
    <xf numFmtId="0" fontId="7" fillId="3" borderId="0" xfId="0" applyFont="1" applyFill="1" applyAlignment="1" applyProtection="1">
      <alignment wrapText="1"/>
      <protection locked="0"/>
    </xf>
    <xf numFmtId="0" fontId="5" fillId="3" borderId="3" xfId="0" applyFont="1" applyFill="1" applyBorder="1" applyAlignment="1" applyProtection="1">
      <alignment wrapText="1"/>
      <protection locked="0"/>
    </xf>
    <xf numFmtId="0" fontId="0" fillId="3" borderId="0" xfId="0" applyFill="1" applyProtection="1">
      <protection locked="0"/>
    </xf>
    <xf numFmtId="0" fontId="0" fillId="3" borderId="3" xfId="0" applyFill="1" applyBorder="1" applyAlignment="1" applyProtection="1">
      <alignment horizontal="center" vertical="center" wrapText="1"/>
      <protection locked="0"/>
    </xf>
    <xf numFmtId="0" fontId="0" fillId="3" borderId="3" xfId="0" applyFill="1" applyBorder="1" applyAlignment="1" applyProtection="1">
      <alignment vertical="center" wrapText="1"/>
      <protection locked="0"/>
    </xf>
    <xf numFmtId="0" fontId="0" fillId="3" borderId="3" xfId="0" applyFill="1" applyBorder="1" applyAlignment="1" applyProtection="1">
      <alignment horizontal="right" vertical="center" wrapText="1"/>
      <protection locked="0"/>
    </xf>
    <xf numFmtId="0" fontId="9" fillId="3" borderId="3" xfId="0" applyFont="1" applyFill="1" applyBorder="1" applyAlignment="1" applyProtection="1">
      <alignment horizontal="right" vertical="center" wrapText="1"/>
      <protection locked="0"/>
    </xf>
    <xf numFmtId="0" fontId="0" fillId="3" borderId="0" xfId="0" applyFill="1" applyAlignment="1" applyProtection="1">
      <alignment vertical="center" wrapText="1"/>
      <protection locked="0"/>
    </xf>
    <xf numFmtId="0" fontId="11" fillId="3" borderId="4" xfId="0" applyFont="1" applyFill="1" applyBorder="1" applyAlignment="1" applyProtection="1">
      <alignment horizontal="center" vertical="center"/>
      <protection locked="0"/>
    </xf>
    <xf numFmtId="0" fontId="0" fillId="3" borderId="4" xfId="0" applyNumberFormat="1" applyFill="1" applyBorder="1" applyProtection="1">
      <protection locked="0"/>
    </xf>
    <xf numFmtId="0" fontId="0" fillId="3" borderId="4" xfId="0" applyFill="1" applyBorder="1" applyAlignment="1" applyProtection="1">
      <alignment horizontal="right"/>
      <protection locked="0"/>
    </xf>
    <xf numFmtId="0" fontId="9" fillId="3" borderId="4" xfId="0" applyFont="1" applyFill="1" applyBorder="1" applyProtection="1">
      <protection locked="0"/>
    </xf>
    <xf numFmtId="0" fontId="14" fillId="0" borderId="0" xfId="0" applyFont="1" applyAlignment="1">
      <alignment wrapText="1"/>
    </xf>
    <xf numFmtId="0" fontId="6" fillId="3" borderId="0" xfId="0" applyFont="1" applyFill="1" applyAlignment="1" applyProtection="1">
      <alignment horizontal="center" vertical="center"/>
      <protection locked="0"/>
    </xf>
    <xf numFmtId="0" fontId="13" fillId="3" borderId="5" xfId="0" applyFont="1" applyFill="1" applyBorder="1" applyAlignment="1" applyProtection="1">
      <alignment horizontal="center" vertical="center"/>
      <protection locked="0"/>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A0F5-4A10-4234-8028-542441FD87F2}">
  <dimension ref="A1:F535"/>
  <sheetViews>
    <sheetView topLeftCell="A3" workbookViewId="0">
      <selection activeCell="F5" sqref="F5:F6"/>
    </sheetView>
  </sheetViews>
  <sheetFormatPr defaultColWidth="9.1796875" defaultRowHeight="13" x14ac:dyDescent="0.3"/>
  <cols>
    <col min="1" max="1" width="4" style="14" customWidth="1"/>
    <col min="2" max="2" width="39.26953125" style="15" customWidth="1"/>
    <col min="3" max="3" width="13" style="13" customWidth="1"/>
    <col min="4" max="4" width="10.81640625" style="45" customWidth="1"/>
    <col min="5" max="5" width="13" style="45" customWidth="1"/>
    <col min="6" max="6" width="14.81640625" style="36" customWidth="1"/>
    <col min="7" max="16384" width="9.1796875" style="13"/>
  </cols>
  <sheetData>
    <row r="1" spans="1:6" s="54" customFormat="1" ht="20.25" customHeight="1" x14ac:dyDescent="0.25">
      <c r="A1" s="65" t="s">
        <v>0</v>
      </c>
      <c r="B1" s="65"/>
      <c r="C1" s="65"/>
      <c r="D1" s="65"/>
      <c r="E1" s="65"/>
      <c r="F1" s="65"/>
    </row>
    <row r="2" spans="1:6" s="54" customFormat="1" ht="12.5" x14ac:dyDescent="0.25">
      <c r="A2" s="66" t="s">
        <v>71</v>
      </c>
      <c r="B2" s="66"/>
      <c r="C2" s="66"/>
      <c r="D2" s="66"/>
      <c r="E2" s="66"/>
      <c r="F2" s="66"/>
    </row>
    <row r="3" spans="1:6" s="59" customFormat="1" ht="25.5" thickBot="1" x14ac:dyDescent="0.3">
      <c r="A3" s="55"/>
      <c r="B3" s="56"/>
      <c r="C3" s="57" t="s">
        <v>1</v>
      </c>
      <c r="D3" s="57" t="s">
        <v>2</v>
      </c>
      <c r="E3" s="57" t="s">
        <v>3</v>
      </c>
      <c r="F3" s="58" t="s">
        <v>4</v>
      </c>
    </row>
    <row r="4" spans="1:6" s="54" customFormat="1" ht="13.5" thickBot="1" x14ac:dyDescent="0.35">
      <c r="A4" s="60">
        <v>1</v>
      </c>
      <c r="B4" s="46" t="s">
        <v>5</v>
      </c>
      <c r="C4" s="61"/>
      <c r="D4" s="62"/>
      <c r="E4" s="62"/>
      <c r="F4" s="63"/>
    </row>
    <row r="5" spans="1:6" x14ac:dyDescent="0.3">
      <c r="B5" s="47" t="s">
        <v>6</v>
      </c>
      <c r="C5" s="1">
        <f>216-83</f>
        <v>133</v>
      </c>
      <c r="D5" s="2">
        <v>163</v>
      </c>
      <c r="E5" s="16">
        <f>C5*D5</f>
        <v>21679</v>
      </c>
      <c r="F5" s="17">
        <f>E5*2.5%</f>
        <v>541.97500000000002</v>
      </c>
    </row>
    <row r="6" spans="1:6" x14ac:dyDescent="0.3">
      <c r="B6" s="47" t="s">
        <v>7</v>
      </c>
      <c r="C6" s="1">
        <v>1084</v>
      </c>
      <c r="D6" s="2">
        <v>150</v>
      </c>
      <c r="E6" s="16">
        <f>C6*D6</f>
        <v>162600</v>
      </c>
      <c r="F6" s="17">
        <f>E6*2.5%</f>
        <v>4065</v>
      </c>
    </row>
    <row r="7" spans="1:6" x14ac:dyDescent="0.3">
      <c r="B7" s="47" t="s">
        <v>8</v>
      </c>
      <c r="C7" s="3"/>
      <c r="D7" s="4"/>
      <c r="E7" s="16">
        <f>C7*D7</f>
        <v>0</v>
      </c>
      <c r="F7" s="17">
        <f>E7*2.5%</f>
        <v>0</v>
      </c>
    </row>
    <row r="8" spans="1:6" ht="25.5" x14ac:dyDescent="0.3">
      <c r="B8" s="47" t="s">
        <v>9</v>
      </c>
      <c r="C8" s="18"/>
      <c r="D8" s="16"/>
      <c r="E8" s="1"/>
      <c r="F8" s="17">
        <f>E8*2.5%</f>
        <v>0</v>
      </c>
    </row>
    <row r="9" spans="1:6" x14ac:dyDescent="0.3">
      <c r="B9" s="47"/>
      <c r="C9" s="18"/>
      <c r="D9" s="16"/>
      <c r="E9" s="16"/>
      <c r="F9" s="19"/>
    </row>
    <row r="10" spans="1:6" ht="13.5" thickBot="1" x14ac:dyDescent="0.35">
      <c r="A10" s="20">
        <v>2</v>
      </c>
      <c r="B10" s="48" t="s">
        <v>10</v>
      </c>
      <c r="C10" s="21"/>
      <c r="D10" s="22"/>
      <c r="E10" s="22"/>
      <c r="F10" s="23"/>
    </row>
    <row r="11" spans="1:6" ht="43.5" customHeight="1" x14ac:dyDescent="0.3">
      <c r="B11" s="47" t="s">
        <v>11</v>
      </c>
      <c r="C11" s="18"/>
      <c r="D11" s="16"/>
      <c r="E11" s="1"/>
      <c r="F11" s="17">
        <f>E11*2.5%</f>
        <v>0</v>
      </c>
    </row>
    <row r="12" spans="1:6" x14ac:dyDescent="0.3">
      <c r="B12" s="47"/>
      <c r="C12" s="18"/>
      <c r="D12" s="16"/>
      <c r="E12" s="16"/>
      <c r="F12" s="19"/>
    </row>
    <row r="13" spans="1:6" ht="13.5" thickBot="1" x14ac:dyDescent="0.35">
      <c r="A13" s="20">
        <v>3</v>
      </c>
      <c r="B13" s="48" t="s">
        <v>12</v>
      </c>
      <c r="C13" s="21"/>
      <c r="D13" s="22"/>
      <c r="E13" s="22"/>
      <c r="F13" s="23"/>
    </row>
    <row r="14" spans="1:6" ht="38" x14ac:dyDescent="0.3">
      <c r="B14" s="47" t="s">
        <v>13</v>
      </c>
      <c r="C14" s="1"/>
      <c r="D14" s="1"/>
      <c r="E14" s="16">
        <f>C14*D14</f>
        <v>0</v>
      </c>
      <c r="F14" s="17">
        <f>E14*2.5%</f>
        <v>0</v>
      </c>
    </row>
    <row r="15" spans="1:6" x14ac:dyDescent="0.3">
      <c r="B15" s="47"/>
      <c r="C15" s="18"/>
      <c r="D15" s="16"/>
      <c r="E15" s="16"/>
      <c r="F15" s="19"/>
    </row>
    <row r="16" spans="1:6" ht="13.5" thickBot="1" x14ac:dyDescent="0.35">
      <c r="A16" s="20">
        <v>4</v>
      </c>
      <c r="B16" s="48" t="s">
        <v>14</v>
      </c>
      <c r="C16" s="21"/>
      <c r="D16" s="22"/>
      <c r="E16" s="22" t="s">
        <v>15</v>
      </c>
      <c r="F16" s="23"/>
    </row>
    <row r="17" spans="1:6" x14ac:dyDescent="0.3">
      <c r="B17" s="47" t="s">
        <v>16</v>
      </c>
      <c r="C17" s="18"/>
      <c r="D17" s="16"/>
      <c r="E17" s="1"/>
      <c r="F17" s="17">
        <f>E17*2.5%</f>
        <v>0</v>
      </c>
    </row>
    <row r="18" spans="1:6" x14ac:dyDescent="0.3">
      <c r="B18" s="47" t="s">
        <v>17</v>
      </c>
      <c r="C18" s="18"/>
      <c r="D18" s="16"/>
      <c r="E18" s="1"/>
      <c r="F18" s="17">
        <f>E18*2.5%</f>
        <v>0</v>
      </c>
    </row>
    <row r="19" spans="1:6" x14ac:dyDescent="0.3">
      <c r="B19" s="47" t="s">
        <v>18</v>
      </c>
      <c r="C19" s="18"/>
      <c r="D19" s="16"/>
      <c r="E19" s="1"/>
      <c r="F19" s="17">
        <f>E19*2.5%</f>
        <v>0</v>
      </c>
    </row>
    <row r="20" spans="1:6" x14ac:dyDescent="0.3">
      <c r="B20" s="47" t="s">
        <v>19</v>
      </c>
      <c r="C20" s="18"/>
      <c r="D20" s="16"/>
      <c r="E20" s="1">
        <v>1000</v>
      </c>
      <c r="F20" s="17">
        <f>E20*2.5%</f>
        <v>25</v>
      </c>
    </row>
    <row r="21" spans="1:6" x14ac:dyDescent="0.3">
      <c r="B21" s="47"/>
      <c r="C21" s="18"/>
      <c r="D21" s="16"/>
      <c r="E21" s="16"/>
      <c r="F21" s="19"/>
    </row>
    <row r="22" spans="1:6" ht="26.5" thickBot="1" x14ac:dyDescent="0.35">
      <c r="A22" s="20">
        <v>5</v>
      </c>
      <c r="B22" s="48" t="s">
        <v>20</v>
      </c>
      <c r="C22" s="21"/>
      <c r="D22" s="22"/>
      <c r="E22" s="22" t="s">
        <v>15</v>
      </c>
      <c r="F22" s="23"/>
    </row>
    <row r="23" spans="1:6" x14ac:dyDescent="0.3">
      <c r="B23" s="47" t="s">
        <v>21</v>
      </c>
      <c r="C23" s="18"/>
      <c r="D23" s="16"/>
      <c r="E23" s="1"/>
      <c r="F23" s="17">
        <f>E23*2.5%</f>
        <v>0</v>
      </c>
    </row>
    <row r="24" spans="1:6" x14ac:dyDescent="0.3">
      <c r="B24" s="47" t="s">
        <v>22</v>
      </c>
      <c r="C24" s="18"/>
      <c r="D24" s="16"/>
      <c r="E24" s="1"/>
      <c r="F24" s="17">
        <f t="shared" ref="F24:F30" si="0">E24*2.5%</f>
        <v>0</v>
      </c>
    </row>
    <row r="25" spans="1:6" x14ac:dyDescent="0.3">
      <c r="B25" s="47" t="s">
        <v>23</v>
      </c>
      <c r="C25" s="18"/>
      <c r="D25" s="16"/>
      <c r="E25" s="1"/>
      <c r="F25" s="17">
        <f t="shared" si="0"/>
        <v>0</v>
      </c>
    </row>
    <row r="26" spans="1:6" x14ac:dyDescent="0.3">
      <c r="B26" s="47" t="s">
        <v>24</v>
      </c>
      <c r="C26" s="18"/>
      <c r="D26" s="16"/>
      <c r="E26" s="1"/>
      <c r="F26" s="17">
        <f t="shared" si="0"/>
        <v>0</v>
      </c>
    </row>
    <row r="27" spans="1:6" ht="38" x14ac:dyDescent="0.3">
      <c r="B27" s="47" t="s">
        <v>25</v>
      </c>
      <c r="D27" s="16"/>
      <c r="E27" s="1">
        <v>226257</v>
      </c>
      <c r="F27" s="17">
        <f t="shared" si="0"/>
        <v>5656.4250000000002</v>
      </c>
    </row>
    <row r="28" spans="1:6" x14ac:dyDescent="0.3">
      <c r="B28" s="47" t="s">
        <v>26</v>
      </c>
      <c r="D28" s="16"/>
      <c r="E28" s="1"/>
      <c r="F28" s="17">
        <f t="shared" si="0"/>
        <v>0</v>
      </c>
    </row>
    <row r="29" spans="1:6" x14ac:dyDescent="0.3">
      <c r="B29" s="47" t="s">
        <v>27</v>
      </c>
      <c r="D29" s="16"/>
      <c r="E29" s="1"/>
      <c r="F29" s="17">
        <f t="shared" si="0"/>
        <v>0</v>
      </c>
    </row>
    <row r="30" spans="1:6" x14ac:dyDescent="0.3">
      <c r="B30" s="47" t="s">
        <v>28</v>
      </c>
      <c r="D30" s="16"/>
      <c r="E30" s="1"/>
      <c r="F30" s="17">
        <f t="shared" si="0"/>
        <v>0</v>
      </c>
    </row>
    <row r="31" spans="1:6" x14ac:dyDescent="0.3">
      <c r="B31" s="47"/>
      <c r="D31" s="16"/>
      <c r="E31" s="16"/>
      <c r="F31" s="19"/>
    </row>
    <row r="32" spans="1:6" ht="13.5" thickBot="1" x14ac:dyDescent="0.35">
      <c r="A32" s="20">
        <v>6</v>
      </c>
      <c r="B32" s="48" t="s">
        <v>29</v>
      </c>
      <c r="C32" s="24"/>
      <c r="D32" s="22"/>
      <c r="E32" s="22" t="s">
        <v>30</v>
      </c>
      <c r="F32" s="23"/>
    </row>
    <row r="33" spans="1:6" ht="25.5" x14ac:dyDescent="0.3">
      <c r="B33" s="47" t="s">
        <v>31</v>
      </c>
      <c r="D33" s="16"/>
      <c r="E33" s="1"/>
      <c r="F33" s="17">
        <f>E33*2.5%</f>
        <v>0</v>
      </c>
    </row>
    <row r="34" spans="1:6" x14ac:dyDescent="0.3">
      <c r="B34" s="47"/>
      <c r="D34" s="16"/>
      <c r="E34" s="16"/>
      <c r="F34" s="19"/>
    </row>
    <row r="35" spans="1:6" ht="13.5" thickBot="1" x14ac:dyDescent="0.35">
      <c r="A35" s="20">
        <v>7</v>
      </c>
      <c r="B35" s="48" t="s">
        <v>32</v>
      </c>
      <c r="C35" s="24"/>
      <c r="D35" s="22"/>
      <c r="E35" s="22"/>
      <c r="F35" s="23"/>
    </row>
    <row r="36" spans="1:6" x14ac:dyDescent="0.3">
      <c r="B36" s="47" t="s">
        <v>33</v>
      </c>
      <c r="D36" s="16"/>
      <c r="E36" s="1"/>
      <c r="F36" s="19"/>
    </row>
    <row r="37" spans="1:6" x14ac:dyDescent="0.3">
      <c r="B37" s="47" t="s">
        <v>34</v>
      </c>
      <c r="D37" s="16"/>
      <c r="E37" s="1"/>
      <c r="F37" s="19"/>
    </row>
    <row r="38" spans="1:6" x14ac:dyDescent="0.3">
      <c r="B38" s="47" t="s">
        <v>35</v>
      </c>
      <c r="D38" s="16"/>
      <c r="E38" s="1"/>
      <c r="F38" s="19"/>
    </row>
    <row r="39" spans="1:6" ht="25.5" x14ac:dyDescent="0.3">
      <c r="B39" s="49" t="s">
        <v>36</v>
      </c>
      <c r="C39" s="25"/>
      <c r="D39" s="26"/>
      <c r="E39" s="1"/>
      <c r="F39" s="19"/>
    </row>
    <row r="40" spans="1:6" x14ac:dyDescent="0.3">
      <c r="B40" s="49" t="s">
        <v>37</v>
      </c>
      <c r="C40" s="25"/>
      <c r="D40" s="26"/>
      <c r="E40" s="1"/>
      <c r="F40" s="19"/>
    </row>
    <row r="41" spans="1:6" ht="25.5" customHeight="1" thickBot="1" x14ac:dyDescent="0.35">
      <c r="B41" s="50" t="s">
        <v>38</v>
      </c>
      <c r="C41" s="27"/>
      <c r="D41" s="28"/>
      <c r="E41" s="29">
        <f>SUM(E36:E38) -E39 -E40</f>
        <v>0</v>
      </c>
      <c r="F41" s="17">
        <f>E41*2.5%</f>
        <v>0</v>
      </c>
    </row>
    <row r="42" spans="1:6" x14ac:dyDescent="0.3">
      <c r="B42" s="47"/>
      <c r="D42" s="16"/>
      <c r="E42" s="16"/>
      <c r="F42" s="19"/>
    </row>
    <row r="43" spans="1:6" ht="13.5" thickBot="1" x14ac:dyDescent="0.35">
      <c r="A43" s="20">
        <v>8</v>
      </c>
      <c r="B43" s="48" t="s">
        <v>39</v>
      </c>
      <c r="C43" s="24"/>
      <c r="D43" s="22"/>
      <c r="E43" s="22"/>
      <c r="F43" s="23"/>
    </row>
    <row r="44" spans="1:6" x14ac:dyDescent="0.3">
      <c r="B44" s="47" t="s">
        <v>40</v>
      </c>
      <c r="D44" s="16"/>
      <c r="E44" s="1"/>
      <c r="F44" s="19"/>
    </row>
    <row r="45" spans="1:6" x14ac:dyDescent="0.3">
      <c r="B45" s="47" t="s">
        <v>41</v>
      </c>
      <c r="D45" s="16"/>
      <c r="E45" s="1"/>
      <c r="F45" s="19"/>
    </row>
    <row r="46" spans="1:6" ht="25.5" x14ac:dyDescent="0.3">
      <c r="B46" s="49" t="s">
        <v>42</v>
      </c>
      <c r="C46" s="25"/>
      <c r="D46" s="26"/>
      <c r="E46" s="1"/>
      <c r="F46" s="19"/>
    </row>
    <row r="47" spans="1:6" ht="50.5" x14ac:dyDescent="0.3">
      <c r="B47" s="47" t="s">
        <v>43</v>
      </c>
      <c r="D47" s="16"/>
      <c r="E47" s="1"/>
      <c r="F47" s="19"/>
    </row>
    <row r="48" spans="1:6" ht="23.25" customHeight="1" thickBot="1" x14ac:dyDescent="0.35">
      <c r="B48" s="50" t="s">
        <v>44</v>
      </c>
      <c r="C48" s="27"/>
      <c r="D48" s="28"/>
      <c r="E48" s="30">
        <f>E44+E45-E46+E47</f>
        <v>0</v>
      </c>
      <c r="F48" s="17">
        <f>E48*2.5%</f>
        <v>0</v>
      </c>
    </row>
    <row r="49" spans="1:6" x14ac:dyDescent="0.3">
      <c r="B49" s="47"/>
      <c r="D49" s="16"/>
      <c r="E49" s="16"/>
      <c r="F49" s="19"/>
    </row>
    <row r="50" spans="1:6" ht="13.5" thickBot="1" x14ac:dyDescent="0.35">
      <c r="A50" s="20">
        <v>9</v>
      </c>
      <c r="B50" s="48" t="s">
        <v>45</v>
      </c>
      <c r="C50" s="24"/>
      <c r="D50" s="22"/>
      <c r="E50" s="22" t="s">
        <v>46</v>
      </c>
      <c r="F50" s="23"/>
    </row>
    <row r="51" spans="1:6" ht="25.5" x14ac:dyDescent="0.3">
      <c r="B51" s="47" t="s">
        <v>47</v>
      </c>
      <c r="D51" s="16"/>
      <c r="E51" s="1"/>
      <c r="F51" s="17">
        <f>E51*10%</f>
        <v>0</v>
      </c>
    </row>
    <row r="52" spans="1:6" ht="38" x14ac:dyDescent="0.3">
      <c r="B52" s="47" t="s">
        <v>48</v>
      </c>
      <c r="D52" s="16"/>
      <c r="E52" s="1"/>
      <c r="F52" s="17">
        <f>E52*5%</f>
        <v>0</v>
      </c>
    </row>
    <row r="53" spans="1:6" ht="38" x14ac:dyDescent="0.3">
      <c r="B53" s="47" t="s">
        <v>49</v>
      </c>
      <c r="D53" s="16"/>
      <c r="E53" s="1"/>
      <c r="F53" s="17">
        <f>E53*7.5%</f>
        <v>0</v>
      </c>
    </row>
    <row r="54" spans="1:6" x14ac:dyDescent="0.3">
      <c r="B54" s="47"/>
      <c r="D54" s="16"/>
      <c r="E54" s="16"/>
      <c r="F54" s="19"/>
    </row>
    <row r="55" spans="1:6" ht="26.5" thickBot="1" x14ac:dyDescent="0.35">
      <c r="A55" s="20">
        <v>10</v>
      </c>
      <c r="B55" s="48" t="s">
        <v>50</v>
      </c>
      <c r="C55" s="24"/>
      <c r="D55" s="22"/>
      <c r="E55" s="22" t="s">
        <v>51</v>
      </c>
      <c r="F55" s="23"/>
    </row>
    <row r="56" spans="1:6" ht="38" x14ac:dyDescent="0.3">
      <c r="B56" s="47" t="s">
        <v>52</v>
      </c>
      <c r="D56" s="16"/>
      <c r="E56" s="1"/>
      <c r="F56" s="17">
        <f>E56*2.5%</f>
        <v>0</v>
      </c>
    </row>
    <row r="57" spans="1:6" x14ac:dyDescent="0.3">
      <c r="B57" s="47"/>
      <c r="D57" s="16"/>
      <c r="E57" s="16"/>
      <c r="F57" s="19"/>
    </row>
    <row r="58" spans="1:6" ht="39" thickBot="1" x14ac:dyDescent="0.35">
      <c r="A58" s="31">
        <v>11</v>
      </c>
      <c r="B58" s="51" t="s">
        <v>70</v>
      </c>
      <c r="C58" s="32"/>
      <c r="D58" s="33"/>
      <c r="E58" s="33"/>
      <c r="F58" s="34"/>
    </row>
    <row r="59" spans="1:6" x14ac:dyDescent="0.3">
      <c r="B59" s="49" t="s">
        <v>53</v>
      </c>
      <c r="C59" s="25"/>
      <c r="D59" s="26"/>
      <c r="E59" s="1">
        <v>1300</v>
      </c>
      <c r="F59" s="35"/>
    </row>
    <row r="60" spans="1:6" x14ac:dyDescent="0.3">
      <c r="B60" s="49" t="s">
        <v>54</v>
      </c>
      <c r="C60" s="25"/>
      <c r="D60" s="26"/>
      <c r="E60" s="1">
        <v>132000</v>
      </c>
      <c r="F60" s="35"/>
    </row>
    <row r="61" spans="1:6" x14ac:dyDescent="0.3">
      <c r="B61" s="49" t="s">
        <v>55</v>
      </c>
      <c r="C61" s="25"/>
      <c r="D61" s="26"/>
      <c r="E61" s="1">
        <v>21000</v>
      </c>
    </row>
    <row r="62" spans="1:6" ht="19.5" customHeight="1" thickBot="1" x14ac:dyDescent="0.35">
      <c r="B62" s="52" t="s">
        <v>56</v>
      </c>
      <c r="C62" s="37"/>
      <c r="D62" s="38"/>
      <c r="E62" s="39">
        <f>SUM(E59:E61)</f>
        <v>154300</v>
      </c>
      <c r="F62" s="35">
        <f>E62* -2.75%</f>
        <v>-4243.25</v>
      </c>
    </row>
    <row r="63" spans="1:6" x14ac:dyDescent="0.3">
      <c r="B63" s="47"/>
      <c r="D63" s="16"/>
      <c r="E63" s="16"/>
      <c r="F63" s="19"/>
    </row>
    <row r="64" spans="1:6" s="44" customFormat="1" ht="24" customHeight="1" thickBot="1" x14ac:dyDescent="0.4">
      <c r="A64" s="40"/>
      <c r="B64" s="53" t="s">
        <v>57</v>
      </c>
      <c r="C64" s="41"/>
      <c r="D64" s="42"/>
      <c r="E64" s="42"/>
      <c r="F64" s="43">
        <f>SUM(F4:F63)</f>
        <v>6045.1500000000015</v>
      </c>
    </row>
    <row r="65" spans="4:6" x14ac:dyDescent="0.3">
      <c r="D65" s="16"/>
      <c r="E65" s="16"/>
      <c r="F65" s="19"/>
    </row>
    <row r="66" spans="4:6" x14ac:dyDescent="0.3">
      <c r="D66" s="16"/>
      <c r="E66" s="16"/>
      <c r="F66" s="19"/>
    </row>
    <row r="67" spans="4:6" x14ac:dyDescent="0.3">
      <c r="D67" s="16"/>
      <c r="E67" s="16"/>
      <c r="F67" s="19"/>
    </row>
    <row r="68" spans="4:6" x14ac:dyDescent="0.3">
      <c r="D68" s="16"/>
      <c r="E68" s="16"/>
      <c r="F68" s="19"/>
    </row>
    <row r="69" spans="4:6" x14ac:dyDescent="0.3">
      <c r="D69" s="16"/>
      <c r="E69" s="16"/>
      <c r="F69" s="19"/>
    </row>
    <row r="70" spans="4:6" x14ac:dyDescent="0.3">
      <c r="D70" s="16"/>
      <c r="E70" s="16"/>
      <c r="F70" s="19"/>
    </row>
    <row r="71" spans="4:6" x14ac:dyDescent="0.3">
      <c r="D71" s="16"/>
      <c r="E71" s="16"/>
      <c r="F71" s="19"/>
    </row>
    <row r="72" spans="4:6" x14ac:dyDescent="0.3">
      <c r="D72" s="16"/>
      <c r="E72" s="16"/>
      <c r="F72" s="19"/>
    </row>
    <row r="73" spans="4:6" x14ac:dyDescent="0.3">
      <c r="D73" s="16"/>
      <c r="E73" s="16"/>
      <c r="F73" s="19"/>
    </row>
    <row r="74" spans="4:6" x14ac:dyDescent="0.3">
      <c r="D74" s="16"/>
      <c r="E74" s="16"/>
      <c r="F74" s="19"/>
    </row>
    <row r="75" spans="4:6" x14ac:dyDescent="0.3">
      <c r="D75" s="16"/>
      <c r="E75" s="16"/>
      <c r="F75" s="19"/>
    </row>
    <row r="76" spans="4:6" x14ac:dyDescent="0.3">
      <c r="D76" s="16"/>
      <c r="E76" s="16"/>
      <c r="F76" s="19"/>
    </row>
    <row r="77" spans="4:6" x14ac:dyDescent="0.3">
      <c r="D77" s="16"/>
      <c r="E77" s="16"/>
      <c r="F77" s="19"/>
    </row>
    <row r="78" spans="4:6" x14ac:dyDescent="0.3">
      <c r="D78" s="16"/>
      <c r="E78" s="16"/>
      <c r="F78" s="19"/>
    </row>
    <row r="79" spans="4:6" x14ac:dyDescent="0.3">
      <c r="D79" s="16"/>
      <c r="E79" s="16"/>
      <c r="F79" s="19"/>
    </row>
    <row r="80" spans="4:6" x14ac:dyDescent="0.3">
      <c r="D80" s="16"/>
      <c r="E80" s="16"/>
      <c r="F80" s="19"/>
    </row>
    <row r="81" spans="4:6" x14ac:dyDescent="0.3">
      <c r="D81" s="16"/>
      <c r="E81" s="16"/>
      <c r="F81" s="19"/>
    </row>
    <row r="82" spans="4:6" x14ac:dyDescent="0.3">
      <c r="D82" s="16"/>
      <c r="E82" s="16"/>
      <c r="F82" s="19"/>
    </row>
    <row r="83" spans="4:6" x14ac:dyDescent="0.3">
      <c r="D83" s="16"/>
      <c r="E83" s="16"/>
      <c r="F83" s="19"/>
    </row>
    <row r="84" spans="4:6" x14ac:dyDescent="0.3">
      <c r="D84" s="16"/>
      <c r="E84" s="16"/>
      <c r="F84" s="19"/>
    </row>
    <row r="85" spans="4:6" x14ac:dyDescent="0.3">
      <c r="D85" s="16"/>
      <c r="E85" s="16"/>
      <c r="F85" s="19"/>
    </row>
    <row r="86" spans="4:6" x14ac:dyDescent="0.3">
      <c r="D86" s="16"/>
      <c r="E86" s="16"/>
      <c r="F86" s="19"/>
    </row>
    <row r="87" spans="4:6" x14ac:dyDescent="0.3">
      <c r="D87" s="16"/>
      <c r="E87" s="16"/>
      <c r="F87" s="19"/>
    </row>
    <row r="88" spans="4:6" x14ac:dyDescent="0.3">
      <c r="D88" s="16"/>
      <c r="E88" s="16"/>
      <c r="F88" s="19"/>
    </row>
    <row r="89" spans="4:6" x14ac:dyDescent="0.3">
      <c r="D89" s="16"/>
      <c r="E89" s="16"/>
      <c r="F89" s="19"/>
    </row>
    <row r="90" spans="4:6" x14ac:dyDescent="0.3">
      <c r="D90" s="16"/>
      <c r="E90" s="16"/>
      <c r="F90" s="19"/>
    </row>
    <row r="91" spans="4:6" x14ac:dyDescent="0.3">
      <c r="D91" s="16"/>
      <c r="E91" s="16"/>
      <c r="F91" s="19"/>
    </row>
    <row r="92" spans="4:6" x14ac:dyDescent="0.3">
      <c r="D92" s="16"/>
      <c r="E92" s="16"/>
      <c r="F92" s="19"/>
    </row>
    <row r="93" spans="4:6" x14ac:dyDescent="0.3">
      <c r="D93" s="16"/>
      <c r="E93" s="16"/>
      <c r="F93" s="19"/>
    </row>
    <row r="94" spans="4:6" x14ac:dyDescent="0.3">
      <c r="D94" s="16"/>
      <c r="E94" s="16"/>
      <c r="F94" s="19"/>
    </row>
    <row r="95" spans="4:6" x14ac:dyDescent="0.3">
      <c r="D95" s="16"/>
      <c r="E95" s="16"/>
      <c r="F95" s="19"/>
    </row>
    <row r="96" spans="4:6" x14ac:dyDescent="0.3">
      <c r="D96" s="16"/>
      <c r="E96" s="16"/>
      <c r="F96" s="19"/>
    </row>
    <row r="97" spans="4:6" x14ac:dyDescent="0.3">
      <c r="D97" s="16"/>
      <c r="E97" s="16"/>
      <c r="F97" s="19"/>
    </row>
    <row r="98" spans="4:6" x14ac:dyDescent="0.3">
      <c r="D98" s="16"/>
      <c r="E98" s="16"/>
      <c r="F98" s="19"/>
    </row>
    <row r="99" spans="4:6" x14ac:dyDescent="0.3">
      <c r="D99" s="16"/>
      <c r="E99" s="16"/>
      <c r="F99" s="19"/>
    </row>
    <row r="100" spans="4:6" x14ac:dyDescent="0.3">
      <c r="D100" s="16"/>
      <c r="E100" s="16"/>
      <c r="F100" s="19"/>
    </row>
    <row r="101" spans="4:6" x14ac:dyDescent="0.3">
      <c r="D101" s="16"/>
      <c r="E101" s="16"/>
      <c r="F101" s="19"/>
    </row>
    <row r="102" spans="4:6" x14ac:dyDescent="0.3">
      <c r="D102" s="16"/>
      <c r="E102" s="16"/>
      <c r="F102" s="19"/>
    </row>
    <row r="103" spans="4:6" x14ac:dyDescent="0.3">
      <c r="D103" s="16"/>
      <c r="E103" s="16"/>
      <c r="F103" s="19"/>
    </row>
    <row r="104" spans="4:6" x14ac:dyDescent="0.3">
      <c r="D104" s="16"/>
      <c r="E104" s="16"/>
      <c r="F104" s="19"/>
    </row>
    <row r="105" spans="4:6" x14ac:dyDescent="0.3">
      <c r="D105" s="16"/>
      <c r="E105" s="16"/>
      <c r="F105" s="19"/>
    </row>
    <row r="106" spans="4:6" x14ac:dyDescent="0.3">
      <c r="D106" s="16"/>
      <c r="E106" s="16"/>
      <c r="F106" s="19"/>
    </row>
    <row r="107" spans="4:6" x14ac:dyDescent="0.3">
      <c r="D107" s="16"/>
      <c r="E107" s="16"/>
      <c r="F107" s="19"/>
    </row>
    <row r="108" spans="4:6" x14ac:dyDescent="0.3">
      <c r="D108" s="16"/>
      <c r="E108" s="16"/>
      <c r="F108" s="19"/>
    </row>
    <row r="109" spans="4:6" x14ac:dyDescent="0.3">
      <c r="D109" s="16"/>
      <c r="E109" s="16"/>
      <c r="F109" s="19"/>
    </row>
    <row r="110" spans="4:6" x14ac:dyDescent="0.3">
      <c r="D110" s="16"/>
      <c r="E110" s="16"/>
      <c r="F110" s="19"/>
    </row>
    <row r="111" spans="4:6" x14ac:dyDescent="0.3">
      <c r="D111" s="16"/>
      <c r="E111" s="16"/>
      <c r="F111" s="19"/>
    </row>
    <row r="112" spans="4:6" x14ac:dyDescent="0.3">
      <c r="D112" s="16"/>
      <c r="E112" s="16"/>
      <c r="F112" s="19"/>
    </row>
    <row r="113" spans="4:6" x14ac:dyDescent="0.3">
      <c r="D113" s="16"/>
      <c r="E113" s="16"/>
      <c r="F113" s="19"/>
    </row>
    <row r="114" spans="4:6" x14ac:dyDescent="0.3">
      <c r="D114" s="16"/>
      <c r="E114" s="16"/>
      <c r="F114" s="19"/>
    </row>
    <row r="115" spans="4:6" x14ac:dyDescent="0.3">
      <c r="D115" s="16"/>
      <c r="E115" s="16"/>
      <c r="F115" s="19"/>
    </row>
    <row r="116" spans="4:6" x14ac:dyDescent="0.3">
      <c r="D116" s="16"/>
      <c r="E116" s="16"/>
      <c r="F116" s="19"/>
    </row>
    <row r="117" spans="4:6" x14ac:dyDescent="0.3">
      <c r="D117" s="16"/>
      <c r="E117" s="16"/>
      <c r="F117" s="19"/>
    </row>
    <row r="118" spans="4:6" x14ac:dyDescent="0.3">
      <c r="D118" s="16"/>
      <c r="E118" s="16"/>
      <c r="F118" s="19"/>
    </row>
    <row r="119" spans="4:6" x14ac:dyDescent="0.3">
      <c r="D119" s="16"/>
      <c r="E119" s="16"/>
      <c r="F119" s="19"/>
    </row>
    <row r="120" spans="4:6" x14ac:dyDescent="0.3">
      <c r="D120" s="16"/>
      <c r="E120" s="16"/>
      <c r="F120" s="19"/>
    </row>
    <row r="121" spans="4:6" x14ac:dyDescent="0.3">
      <c r="D121" s="16"/>
      <c r="E121" s="16"/>
      <c r="F121" s="19"/>
    </row>
    <row r="122" spans="4:6" x14ac:dyDescent="0.3">
      <c r="D122" s="16"/>
      <c r="E122" s="16"/>
      <c r="F122" s="19"/>
    </row>
    <row r="123" spans="4:6" x14ac:dyDescent="0.3">
      <c r="D123" s="16"/>
      <c r="E123" s="16"/>
      <c r="F123" s="19"/>
    </row>
    <row r="124" spans="4:6" x14ac:dyDescent="0.3">
      <c r="D124" s="16"/>
      <c r="E124" s="16"/>
      <c r="F124" s="19"/>
    </row>
    <row r="125" spans="4:6" x14ac:dyDescent="0.3">
      <c r="D125" s="16"/>
      <c r="E125" s="16"/>
      <c r="F125" s="19"/>
    </row>
    <row r="126" spans="4:6" x14ac:dyDescent="0.3">
      <c r="D126" s="16"/>
      <c r="E126" s="16"/>
      <c r="F126" s="19"/>
    </row>
    <row r="127" spans="4:6" x14ac:dyDescent="0.3">
      <c r="D127" s="16"/>
      <c r="E127" s="16"/>
      <c r="F127" s="19"/>
    </row>
    <row r="128" spans="4:6" x14ac:dyDescent="0.3">
      <c r="D128" s="16"/>
      <c r="E128" s="16"/>
      <c r="F128" s="19"/>
    </row>
    <row r="129" spans="4:6" x14ac:dyDescent="0.3">
      <c r="D129" s="16"/>
      <c r="E129" s="16"/>
      <c r="F129" s="19"/>
    </row>
    <row r="130" spans="4:6" x14ac:dyDescent="0.3">
      <c r="D130" s="16"/>
      <c r="E130" s="16"/>
      <c r="F130" s="19"/>
    </row>
    <row r="131" spans="4:6" x14ac:dyDescent="0.3">
      <c r="D131" s="16"/>
      <c r="E131" s="16"/>
      <c r="F131" s="19"/>
    </row>
    <row r="132" spans="4:6" x14ac:dyDescent="0.3">
      <c r="D132" s="16"/>
      <c r="E132" s="16"/>
      <c r="F132" s="19"/>
    </row>
    <row r="133" spans="4:6" x14ac:dyDescent="0.3">
      <c r="D133" s="16"/>
      <c r="E133" s="16"/>
      <c r="F133" s="19"/>
    </row>
    <row r="134" spans="4:6" x14ac:dyDescent="0.3">
      <c r="D134" s="16"/>
      <c r="E134" s="16"/>
      <c r="F134" s="19"/>
    </row>
    <row r="135" spans="4:6" x14ac:dyDescent="0.3">
      <c r="D135" s="16"/>
      <c r="E135" s="16"/>
      <c r="F135" s="19"/>
    </row>
    <row r="136" spans="4:6" x14ac:dyDescent="0.3">
      <c r="D136" s="16"/>
      <c r="E136" s="16"/>
      <c r="F136" s="19"/>
    </row>
    <row r="137" spans="4:6" x14ac:dyDescent="0.3">
      <c r="D137" s="16"/>
      <c r="E137" s="16"/>
      <c r="F137" s="19"/>
    </row>
    <row r="138" spans="4:6" x14ac:dyDescent="0.3">
      <c r="D138" s="16"/>
      <c r="E138" s="16"/>
      <c r="F138" s="19"/>
    </row>
    <row r="139" spans="4:6" x14ac:dyDescent="0.3">
      <c r="D139" s="16"/>
      <c r="E139" s="16"/>
      <c r="F139" s="19"/>
    </row>
    <row r="140" spans="4:6" x14ac:dyDescent="0.3">
      <c r="D140" s="16"/>
      <c r="E140" s="16"/>
      <c r="F140" s="19"/>
    </row>
    <row r="141" spans="4:6" x14ac:dyDescent="0.3">
      <c r="D141" s="16"/>
      <c r="E141" s="16"/>
      <c r="F141" s="19"/>
    </row>
    <row r="142" spans="4:6" x14ac:dyDescent="0.3">
      <c r="D142" s="16"/>
      <c r="E142" s="16"/>
      <c r="F142" s="19"/>
    </row>
    <row r="143" spans="4:6" x14ac:dyDescent="0.3">
      <c r="D143" s="16"/>
      <c r="E143" s="16"/>
      <c r="F143" s="19"/>
    </row>
    <row r="144" spans="4:6" x14ac:dyDescent="0.3">
      <c r="D144" s="16"/>
      <c r="E144" s="16"/>
      <c r="F144" s="19"/>
    </row>
    <row r="145" spans="4:6" x14ac:dyDescent="0.3">
      <c r="D145" s="16"/>
      <c r="E145" s="16"/>
      <c r="F145" s="19"/>
    </row>
    <row r="146" spans="4:6" x14ac:dyDescent="0.3">
      <c r="D146" s="16"/>
      <c r="E146" s="16"/>
      <c r="F146" s="19"/>
    </row>
    <row r="147" spans="4:6" x14ac:dyDescent="0.3">
      <c r="D147" s="16"/>
      <c r="E147" s="16"/>
      <c r="F147" s="19"/>
    </row>
    <row r="148" spans="4:6" x14ac:dyDescent="0.3">
      <c r="D148" s="16"/>
      <c r="E148" s="16"/>
      <c r="F148" s="19"/>
    </row>
    <row r="149" spans="4:6" x14ac:dyDescent="0.3">
      <c r="D149" s="16"/>
      <c r="E149" s="16"/>
      <c r="F149" s="19"/>
    </row>
    <row r="150" spans="4:6" x14ac:dyDescent="0.3">
      <c r="D150" s="16"/>
      <c r="E150" s="16"/>
      <c r="F150" s="19"/>
    </row>
    <row r="151" spans="4:6" x14ac:dyDescent="0.3">
      <c r="D151" s="16"/>
      <c r="E151" s="16"/>
      <c r="F151" s="19"/>
    </row>
    <row r="152" spans="4:6" x14ac:dyDescent="0.3">
      <c r="D152" s="16"/>
      <c r="E152" s="16"/>
      <c r="F152" s="19"/>
    </row>
    <row r="153" spans="4:6" x14ac:dyDescent="0.3">
      <c r="D153" s="16"/>
      <c r="E153" s="16"/>
      <c r="F153" s="19"/>
    </row>
    <row r="154" spans="4:6" x14ac:dyDescent="0.3">
      <c r="D154" s="16"/>
      <c r="E154" s="16"/>
      <c r="F154" s="19"/>
    </row>
    <row r="155" spans="4:6" x14ac:dyDescent="0.3">
      <c r="D155" s="16"/>
      <c r="E155" s="16"/>
      <c r="F155" s="19"/>
    </row>
    <row r="156" spans="4:6" x14ac:dyDescent="0.3">
      <c r="D156" s="16"/>
      <c r="E156" s="16"/>
      <c r="F156" s="19"/>
    </row>
    <row r="157" spans="4:6" x14ac:dyDescent="0.3">
      <c r="D157" s="16"/>
      <c r="E157" s="16"/>
      <c r="F157" s="19"/>
    </row>
    <row r="158" spans="4:6" x14ac:dyDescent="0.3">
      <c r="D158" s="16"/>
      <c r="E158" s="16"/>
      <c r="F158" s="19"/>
    </row>
    <row r="159" spans="4:6" x14ac:dyDescent="0.3">
      <c r="D159" s="16"/>
      <c r="E159" s="16"/>
      <c r="F159" s="19"/>
    </row>
    <row r="160" spans="4:6" x14ac:dyDescent="0.3">
      <c r="D160" s="16"/>
      <c r="E160" s="16"/>
      <c r="F160" s="19"/>
    </row>
    <row r="161" spans="4:6" x14ac:dyDescent="0.3">
      <c r="D161" s="16"/>
      <c r="E161" s="16"/>
      <c r="F161" s="19"/>
    </row>
    <row r="162" spans="4:6" x14ac:dyDescent="0.3">
      <c r="D162" s="16"/>
      <c r="E162" s="16"/>
      <c r="F162" s="19"/>
    </row>
    <row r="163" spans="4:6" x14ac:dyDescent="0.3">
      <c r="D163" s="16"/>
      <c r="E163" s="16"/>
      <c r="F163" s="19"/>
    </row>
    <row r="164" spans="4:6" x14ac:dyDescent="0.3">
      <c r="D164" s="16"/>
      <c r="E164" s="16"/>
      <c r="F164" s="19"/>
    </row>
    <row r="165" spans="4:6" x14ac:dyDescent="0.3">
      <c r="D165" s="16"/>
      <c r="E165" s="16"/>
      <c r="F165" s="19"/>
    </row>
    <row r="166" spans="4:6" x14ac:dyDescent="0.3">
      <c r="D166" s="16"/>
      <c r="E166" s="16"/>
      <c r="F166" s="19"/>
    </row>
    <row r="167" spans="4:6" x14ac:dyDescent="0.3">
      <c r="D167" s="16"/>
      <c r="E167" s="16"/>
      <c r="F167" s="19"/>
    </row>
    <row r="168" spans="4:6" x14ac:dyDescent="0.3">
      <c r="D168" s="16"/>
      <c r="E168" s="16"/>
      <c r="F168" s="19"/>
    </row>
    <row r="169" spans="4:6" x14ac:dyDescent="0.3">
      <c r="D169" s="16"/>
      <c r="E169" s="16"/>
      <c r="F169" s="19"/>
    </row>
    <row r="170" spans="4:6" x14ac:dyDescent="0.3">
      <c r="D170" s="16"/>
      <c r="E170" s="16"/>
      <c r="F170" s="19"/>
    </row>
    <row r="171" spans="4:6" x14ac:dyDescent="0.3">
      <c r="D171" s="16"/>
      <c r="E171" s="16"/>
      <c r="F171" s="19"/>
    </row>
    <row r="172" spans="4:6" x14ac:dyDescent="0.3">
      <c r="D172" s="16"/>
      <c r="E172" s="16"/>
      <c r="F172" s="19"/>
    </row>
    <row r="173" spans="4:6" x14ac:dyDescent="0.3">
      <c r="D173" s="16"/>
      <c r="E173" s="16"/>
      <c r="F173" s="19"/>
    </row>
    <row r="174" spans="4:6" x14ac:dyDescent="0.3">
      <c r="D174" s="16"/>
      <c r="E174" s="16"/>
      <c r="F174" s="19"/>
    </row>
    <row r="175" spans="4:6" x14ac:dyDescent="0.3">
      <c r="D175" s="16"/>
      <c r="E175" s="16"/>
      <c r="F175" s="19"/>
    </row>
    <row r="176" spans="4:6" x14ac:dyDescent="0.3">
      <c r="D176" s="16"/>
      <c r="E176" s="16"/>
      <c r="F176" s="19"/>
    </row>
    <row r="177" spans="4:6" x14ac:dyDescent="0.3">
      <c r="D177" s="16"/>
      <c r="E177" s="16"/>
      <c r="F177" s="19"/>
    </row>
    <row r="178" spans="4:6" x14ac:dyDescent="0.3">
      <c r="D178" s="16"/>
      <c r="E178" s="16"/>
      <c r="F178" s="19"/>
    </row>
    <row r="179" spans="4:6" x14ac:dyDescent="0.3">
      <c r="D179" s="16"/>
      <c r="E179" s="16"/>
      <c r="F179" s="19"/>
    </row>
    <row r="180" spans="4:6" x14ac:dyDescent="0.3">
      <c r="D180" s="16"/>
      <c r="E180" s="16"/>
      <c r="F180" s="19"/>
    </row>
    <row r="181" spans="4:6" x14ac:dyDescent="0.3">
      <c r="D181" s="16"/>
      <c r="E181" s="16"/>
      <c r="F181" s="19"/>
    </row>
    <row r="182" spans="4:6" x14ac:dyDescent="0.3">
      <c r="D182" s="16"/>
      <c r="E182" s="16"/>
      <c r="F182" s="19"/>
    </row>
    <row r="183" spans="4:6" x14ac:dyDescent="0.3">
      <c r="D183" s="16"/>
      <c r="E183" s="16"/>
      <c r="F183" s="19"/>
    </row>
    <row r="184" spans="4:6" x14ac:dyDescent="0.3">
      <c r="D184" s="16"/>
      <c r="E184" s="16"/>
      <c r="F184" s="19"/>
    </row>
    <row r="185" spans="4:6" x14ac:dyDescent="0.3">
      <c r="D185" s="16"/>
      <c r="E185" s="16"/>
      <c r="F185" s="19"/>
    </row>
    <row r="186" spans="4:6" x14ac:dyDescent="0.3">
      <c r="D186" s="16"/>
      <c r="E186" s="16"/>
      <c r="F186" s="19"/>
    </row>
    <row r="187" spans="4:6" x14ac:dyDescent="0.3">
      <c r="D187" s="16"/>
      <c r="E187" s="16"/>
      <c r="F187" s="19"/>
    </row>
    <row r="188" spans="4:6" x14ac:dyDescent="0.3">
      <c r="D188" s="16"/>
      <c r="E188" s="16"/>
      <c r="F188" s="19"/>
    </row>
    <row r="189" spans="4:6" x14ac:dyDescent="0.3">
      <c r="D189" s="16"/>
      <c r="E189" s="16"/>
      <c r="F189" s="19"/>
    </row>
    <row r="190" spans="4:6" x14ac:dyDescent="0.3">
      <c r="D190" s="16"/>
      <c r="E190" s="16"/>
      <c r="F190" s="19"/>
    </row>
    <row r="191" spans="4:6" x14ac:dyDescent="0.3">
      <c r="D191" s="16"/>
      <c r="E191" s="16"/>
      <c r="F191" s="19"/>
    </row>
    <row r="192" spans="4:6" x14ac:dyDescent="0.3">
      <c r="D192" s="16"/>
      <c r="E192" s="16"/>
      <c r="F192" s="19"/>
    </row>
    <row r="193" spans="4:6" x14ac:dyDescent="0.3">
      <c r="D193" s="16"/>
      <c r="E193" s="16"/>
      <c r="F193" s="19"/>
    </row>
    <row r="194" spans="4:6" x14ac:dyDescent="0.3">
      <c r="D194" s="16"/>
      <c r="E194" s="16"/>
      <c r="F194" s="19"/>
    </row>
    <row r="195" spans="4:6" x14ac:dyDescent="0.3">
      <c r="D195" s="16"/>
      <c r="E195" s="16"/>
      <c r="F195" s="19"/>
    </row>
    <row r="196" spans="4:6" x14ac:dyDescent="0.3">
      <c r="D196" s="16"/>
      <c r="E196" s="16"/>
      <c r="F196" s="19"/>
    </row>
    <row r="197" spans="4:6" x14ac:dyDescent="0.3">
      <c r="D197" s="16"/>
      <c r="E197" s="16"/>
      <c r="F197" s="19"/>
    </row>
    <row r="198" spans="4:6" x14ac:dyDescent="0.3">
      <c r="D198" s="16"/>
      <c r="E198" s="16"/>
      <c r="F198" s="19"/>
    </row>
    <row r="199" spans="4:6" x14ac:dyDescent="0.3">
      <c r="D199" s="16"/>
      <c r="E199" s="16"/>
      <c r="F199" s="19"/>
    </row>
    <row r="200" spans="4:6" x14ac:dyDescent="0.3">
      <c r="D200" s="16"/>
      <c r="E200" s="16"/>
      <c r="F200" s="19"/>
    </row>
    <row r="201" spans="4:6" x14ac:dyDescent="0.3">
      <c r="D201" s="16"/>
      <c r="E201" s="16"/>
      <c r="F201" s="19"/>
    </row>
    <row r="202" spans="4:6" x14ac:dyDescent="0.3">
      <c r="D202" s="16"/>
      <c r="E202" s="16"/>
      <c r="F202" s="19"/>
    </row>
    <row r="203" spans="4:6" x14ac:dyDescent="0.3">
      <c r="D203" s="16"/>
      <c r="E203" s="16"/>
      <c r="F203" s="19"/>
    </row>
    <row r="204" spans="4:6" x14ac:dyDescent="0.3">
      <c r="D204" s="16"/>
      <c r="E204" s="16"/>
      <c r="F204" s="19"/>
    </row>
    <row r="205" spans="4:6" x14ac:dyDescent="0.3">
      <c r="D205" s="16"/>
      <c r="E205" s="16"/>
      <c r="F205" s="19"/>
    </row>
    <row r="206" spans="4:6" x14ac:dyDescent="0.3">
      <c r="D206" s="16"/>
      <c r="E206" s="16"/>
      <c r="F206" s="19"/>
    </row>
    <row r="207" spans="4:6" x14ac:dyDescent="0.3">
      <c r="D207" s="16"/>
      <c r="E207" s="16"/>
      <c r="F207" s="19"/>
    </row>
    <row r="208" spans="4:6" x14ac:dyDescent="0.3">
      <c r="D208" s="16"/>
      <c r="E208" s="16"/>
      <c r="F208" s="19"/>
    </row>
    <row r="209" spans="4:6" x14ac:dyDescent="0.3">
      <c r="D209" s="16"/>
      <c r="E209" s="16"/>
      <c r="F209" s="19"/>
    </row>
    <row r="210" spans="4:6" x14ac:dyDescent="0.3">
      <c r="D210" s="16"/>
      <c r="E210" s="16"/>
      <c r="F210" s="19"/>
    </row>
    <row r="211" spans="4:6" x14ac:dyDescent="0.3">
      <c r="D211" s="16"/>
      <c r="E211" s="16"/>
      <c r="F211" s="19"/>
    </row>
    <row r="212" spans="4:6" x14ac:dyDescent="0.3">
      <c r="D212" s="16"/>
      <c r="E212" s="16"/>
      <c r="F212" s="19"/>
    </row>
    <row r="213" spans="4:6" x14ac:dyDescent="0.3">
      <c r="D213" s="16"/>
      <c r="E213" s="16"/>
      <c r="F213" s="19"/>
    </row>
    <row r="214" spans="4:6" x14ac:dyDescent="0.3">
      <c r="D214" s="16"/>
      <c r="E214" s="16"/>
      <c r="F214" s="19"/>
    </row>
    <row r="215" spans="4:6" x14ac:dyDescent="0.3">
      <c r="D215" s="16"/>
      <c r="E215" s="16"/>
      <c r="F215" s="19"/>
    </row>
    <row r="216" spans="4:6" x14ac:dyDescent="0.3">
      <c r="D216" s="16"/>
      <c r="E216" s="16"/>
      <c r="F216" s="19"/>
    </row>
    <row r="217" spans="4:6" x14ac:dyDescent="0.3">
      <c r="D217" s="16"/>
      <c r="E217" s="16"/>
      <c r="F217" s="19"/>
    </row>
    <row r="218" spans="4:6" x14ac:dyDescent="0.3">
      <c r="D218" s="16"/>
      <c r="E218" s="16"/>
      <c r="F218" s="19"/>
    </row>
    <row r="219" spans="4:6" x14ac:dyDescent="0.3">
      <c r="D219" s="16"/>
      <c r="E219" s="16"/>
      <c r="F219" s="19"/>
    </row>
    <row r="220" spans="4:6" x14ac:dyDescent="0.3">
      <c r="D220" s="16"/>
      <c r="E220" s="16"/>
      <c r="F220" s="19"/>
    </row>
    <row r="221" spans="4:6" x14ac:dyDescent="0.3">
      <c r="D221" s="16"/>
      <c r="E221" s="16"/>
      <c r="F221" s="19"/>
    </row>
    <row r="222" spans="4:6" x14ac:dyDescent="0.3">
      <c r="D222" s="16"/>
      <c r="E222" s="16"/>
      <c r="F222" s="19"/>
    </row>
    <row r="223" spans="4:6" x14ac:dyDescent="0.3">
      <c r="D223" s="16"/>
      <c r="E223" s="16"/>
      <c r="F223" s="19"/>
    </row>
    <row r="224" spans="4:6" x14ac:dyDescent="0.3">
      <c r="D224" s="16"/>
      <c r="E224" s="16"/>
      <c r="F224" s="19"/>
    </row>
    <row r="225" spans="4:6" x14ac:dyDescent="0.3">
      <c r="D225" s="16"/>
      <c r="E225" s="16"/>
      <c r="F225" s="19"/>
    </row>
    <row r="226" spans="4:6" x14ac:dyDescent="0.3">
      <c r="D226" s="16"/>
      <c r="E226" s="16"/>
      <c r="F226" s="19"/>
    </row>
    <row r="227" spans="4:6" x14ac:dyDescent="0.3">
      <c r="D227" s="16"/>
      <c r="E227" s="16"/>
      <c r="F227" s="19"/>
    </row>
    <row r="228" spans="4:6" x14ac:dyDescent="0.3">
      <c r="D228" s="16"/>
      <c r="E228" s="16"/>
      <c r="F228" s="19"/>
    </row>
    <row r="229" spans="4:6" x14ac:dyDescent="0.3">
      <c r="D229" s="16"/>
      <c r="E229" s="16"/>
      <c r="F229" s="19"/>
    </row>
    <row r="230" spans="4:6" x14ac:dyDescent="0.3">
      <c r="D230" s="16"/>
      <c r="E230" s="16"/>
      <c r="F230" s="19"/>
    </row>
    <row r="231" spans="4:6" x14ac:dyDescent="0.3">
      <c r="D231" s="16"/>
      <c r="E231" s="16"/>
      <c r="F231" s="19"/>
    </row>
    <row r="232" spans="4:6" x14ac:dyDescent="0.3">
      <c r="D232" s="16"/>
      <c r="E232" s="16"/>
      <c r="F232" s="19"/>
    </row>
    <row r="233" spans="4:6" x14ac:dyDescent="0.3">
      <c r="D233" s="16"/>
      <c r="E233" s="16"/>
      <c r="F233" s="19"/>
    </row>
    <row r="234" spans="4:6" x14ac:dyDescent="0.3">
      <c r="D234" s="16"/>
      <c r="E234" s="16"/>
      <c r="F234" s="19"/>
    </row>
    <row r="235" spans="4:6" x14ac:dyDescent="0.3">
      <c r="D235" s="16"/>
      <c r="E235" s="16"/>
      <c r="F235" s="19"/>
    </row>
    <row r="236" spans="4:6" x14ac:dyDescent="0.3">
      <c r="D236" s="16"/>
      <c r="E236" s="16"/>
      <c r="F236" s="19"/>
    </row>
    <row r="237" spans="4:6" x14ac:dyDescent="0.3">
      <c r="D237" s="16"/>
      <c r="E237" s="16"/>
      <c r="F237" s="19"/>
    </row>
    <row r="238" spans="4:6" x14ac:dyDescent="0.3">
      <c r="D238" s="16"/>
      <c r="E238" s="16"/>
      <c r="F238" s="19"/>
    </row>
    <row r="239" spans="4:6" x14ac:dyDescent="0.3">
      <c r="D239" s="16"/>
      <c r="E239" s="16"/>
      <c r="F239" s="19"/>
    </row>
    <row r="240" spans="4:6" x14ac:dyDescent="0.3">
      <c r="D240" s="16"/>
      <c r="E240" s="16"/>
      <c r="F240" s="19"/>
    </row>
    <row r="241" spans="4:6" x14ac:dyDescent="0.3">
      <c r="D241" s="16"/>
      <c r="E241" s="16"/>
      <c r="F241" s="19"/>
    </row>
    <row r="242" spans="4:6" x14ac:dyDescent="0.3">
      <c r="D242" s="16"/>
      <c r="E242" s="16"/>
      <c r="F242" s="19"/>
    </row>
    <row r="243" spans="4:6" x14ac:dyDescent="0.3">
      <c r="D243" s="16"/>
      <c r="E243" s="16"/>
      <c r="F243" s="19"/>
    </row>
    <row r="244" spans="4:6" x14ac:dyDescent="0.3">
      <c r="D244" s="16"/>
      <c r="E244" s="16"/>
      <c r="F244" s="19"/>
    </row>
    <row r="245" spans="4:6" x14ac:dyDescent="0.3">
      <c r="D245" s="16"/>
      <c r="E245" s="16"/>
      <c r="F245" s="19"/>
    </row>
    <row r="246" spans="4:6" x14ac:dyDescent="0.3">
      <c r="D246" s="16"/>
      <c r="E246" s="16"/>
      <c r="F246" s="19"/>
    </row>
    <row r="247" spans="4:6" x14ac:dyDescent="0.3">
      <c r="D247" s="16"/>
      <c r="E247" s="16"/>
      <c r="F247" s="19"/>
    </row>
    <row r="248" spans="4:6" x14ac:dyDescent="0.3">
      <c r="D248" s="16"/>
      <c r="E248" s="16"/>
      <c r="F248" s="19"/>
    </row>
    <row r="249" spans="4:6" x14ac:dyDescent="0.3">
      <c r="D249" s="16"/>
      <c r="E249" s="16"/>
      <c r="F249" s="19"/>
    </row>
    <row r="250" spans="4:6" x14ac:dyDescent="0.3">
      <c r="D250" s="16"/>
      <c r="E250" s="16"/>
      <c r="F250" s="19"/>
    </row>
    <row r="251" spans="4:6" x14ac:dyDescent="0.3">
      <c r="D251" s="16"/>
      <c r="E251" s="16"/>
      <c r="F251" s="19"/>
    </row>
    <row r="252" spans="4:6" x14ac:dyDescent="0.3">
      <c r="D252" s="16"/>
      <c r="E252" s="16"/>
      <c r="F252" s="19"/>
    </row>
    <row r="253" spans="4:6" x14ac:dyDescent="0.3">
      <c r="D253" s="16"/>
      <c r="E253" s="16"/>
      <c r="F253" s="19"/>
    </row>
    <row r="254" spans="4:6" x14ac:dyDescent="0.3">
      <c r="D254" s="16"/>
      <c r="E254" s="16"/>
      <c r="F254" s="19"/>
    </row>
    <row r="255" spans="4:6" x14ac:dyDescent="0.3">
      <c r="D255" s="16"/>
      <c r="E255" s="16"/>
      <c r="F255" s="19"/>
    </row>
    <row r="256" spans="4:6" x14ac:dyDescent="0.3">
      <c r="D256" s="16"/>
      <c r="E256" s="16"/>
      <c r="F256" s="19"/>
    </row>
    <row r="257" spans="4:6" x14ac:dyDescent="0.3">
      <c r="D257" s="16"/>
      <c r="E257" s="16"/>
      <c r="F257" s="19"/>
    </row>
    <row r="258" spans="4:6" x14ac:dyDescent="0.3">
      <c r="D258" s="16"/>
      <c r="E258" s="16"/>
      <c r="F258" s="19"/>
    </row>
    <row r="259" spans="4:6" x14ac:dyDescent="0.3">
      <c r="D259" s="16"/>
      <c r="E259" s="16"/>
      <c r="F259" s="19"/>
    </row>
    <row r="260" spans="4:6" x14ac:dyDescent="0.3">
      <c r="D260" s="16"/>
      <c r="E260" s="16"/>
      <c r="F260" s="19"/>
    </row>
    <row r="261" spans="4:6" x14ac:dyDescent="0.3">
      <c r="D261" s="16"/>
      <c r="E261" s="16"/>
      <c r="F261" s="19"/>
    </row>
    <row r="262" spans="4:6" x14ac:dyDescent="0.3">
      <c r="D262" s="16"/>
      <c r="E262" s="16"/>
      <c r="F262" s="19"/>
    </row>
    <row r="263" spans="4:6" x14ac:dyDescent="0.3">
      <c r="D263" s="16"/>
      <c r="E263" s="16"/>
      <c r="F263" s="19"/>
    </row>
    <row r="264" spans="4:6" x14ac:dyDescent="0.3">
      <c r="D264" s="16"/>
      <c r="E264" s="16"/>
      <c r="F264" s="19"/>
    </row>
    <row r="265" spans="4:6" x14ac:dyDescent="0.3">
      <c r="D265" s="16"/>
      <c r="E265" s="16"/>
      <c r="F265" s="19"/>
    </row>
    <row r="266" spans="4:6" x14ac:dyDescent="0.3">
      <c r="D266" s="16"/>
      <c r="E266" s="16"/>
      <c r="F266" s="19"/>
    </row>
    <row r="267" spans="4:6" x14ac:dyDescent="0.3">
      <c r="D267" s="16"/>
      <c r="E267" s="16"/>
      <c r="F267" s="19"/>
    </row>
    <row r="268" spans="4:6" x14ac:dyDescent="0.3">
      <c r="D268" s="16"/>
      <c r="E268" s="16"/>
      <c r="F268" s="19"/>
    </row>
    <row r="269" spans="4:6" x14ac:dyDescent="0.3">
      <c r="D269" s="16"/>
      <c r="E269" s="16"/>
      <c r="F269" s="19"/>
    </row>
    <row r="270" spans="4:6" x14ac:dyDescent="0.3">
      <c r="D270" s="16"/>
      <c r="E270" s="16"/>
      <c r="F270" s="19"/>
    </row>
    <row r="271" spans="4:6" x14ac:dyDescent="0.3">
      <c r="D271" s="16"/>
      <c r="E271" s="16"/>
      <c r="F271" s="19"/>
    </row>
    <row r="272" spans="4:6" x14ac:dyDescent="0.3">
      <c r="D272" s="16"/>
      <c r="E272" s="16"/>
      <c r="F272" s="19"/>
    </row>
    <row r="273" spans="4:6" x14ac:dyDescent="0.3">
      <c r="D273" s="16"/>
      <c r="E273" s="16"/>
      <c r="F273" s="19"/>
    </row>
    <row r="274" spans="4:6" x14ac:dyDescent="0.3">
      <c r="D274" s="16"/>
      <c r="E274" s="16"/>
      <c r="F274" s="19"/>
    </row>
    <row r="275" spans="4:6" x14ac:dyDescent="0.3">
      <c r="D275" s="16"/>
      <c r="E275" s="16"/>
      <c r="F275" s="19"/>
    </row>
    <row r="276" spans="4:6" x14ac:dyDescent="0.3">
      <c r="D276" s="16"/>
      <c r="E276" s="16"/>
      <c r="F276" s="19"/>
    </row>
    <row r="277" spans="4:6" x14ac:dyDescent="0.3">
      <c r="D277" s="16"/>
      <c r="E277" s="16"/>
      <c r="F277" s="19"/>
    </row>
    <row r="278" spans="4:6" x14ac:dyDescent="0.3">
      <c r="D278" s="16"/>
      <c r="E278" s="16"/>
      <c r="F278" s="19"/>
    </row>
    <row r="279" spans="4:6" x14ac:dyDescent="0.3">
      <c r="D279" s="16"/>
      <c r="E279" s="16"/>
      <c r="F279" s="19"/>
    </row>
    <row r="280" spans="4:6" x14ac:dyDescent="0.3">
      <c r="D280" s="16"/>
      <c r="E280" s="16"/>
      <c r="F280" s="19"/>
    </row>
    <row r="281" spans="4:6" x14ac:dyDescent="0.3">
      <c r="D281" s="16"/>
      <c r="E281" s="16"/>
      <c r="F281" s="19"/>
    </row>
    <row r="282" spans="4:6" x14ac:dyDescent="0.3">
      <c r="D282" s="16"/>
      <c r="E282" s="16"/>
      <c r="F282" s="19"/>
    </row>
    <row r="283" spans="4:6" x14ac:dyDescent="0.3">
      <c r="D283" s="16"/>
      <c r="E283" s="16"/>
      <c r="F283" s="19"/>
    </row>
    <row r="284" spans="4:6" x14ac:dyDescent="0.3">
      <c r="D284" s="16"/>
      <c r="E284" s="16"/>
      <c r="F284" s="19"/>
    </row>
    <row r="285" spans="4:6" x14ac:dyDescent="0.3">
      <c r="D285" s="16"/>
      <c r="E285" s="16"/>
      <c r="F285" s="19"/>
    </row>
    <row r="286" spans="4:6" x14ac:dyDescent="0.3">
      <c r="D286" s="16"/>
      <c r="E286" s="16"/>
      <c r="F286" s="19"/>
    </row>
    <row r="287" spans="4:6" x14ac:dyDescent="0.3">
      <c r="D287" s="16"/>
      <c r="E287" s="16"/>
      <c r="F287" s="19"/>
    </row>
    <row r="288" spans="4:6" x14ac:dyDescent="0.3">
      <c r="D288" s="16"/>
      <c r="E288" s="16"/>
      <c r="F288" s="19"/>
    </row>
    <row r="289" spans="4:6" x14ac:dyDescent="0.3">
      <c r="D289" s="16"/>
      <c r="E289" s="16"/>
      <c r="F289" s="19"/>
    </row>
    <row r="290" spans="4:6" x14ac:dyDescent="0.3">
      <c r="D290" s="16"/>
      <c r="E290" s="16"/>
      <c r="F290" s="19"/>
    </row>
    <row r="291" spans="4:6" x14ac:dyDescent="0.3">
      <c r="D291" s="16"/>
      <c r="E291" s="16"/>
      <c r="F291" s="19"/>
    </row>
    <row r="292" spans="4:6" x14ac:dyDescent="0.3">
      <c r="D292" s="16"/>
      <c r="E292" s="16"/>
      <c r="F292" s="19"/>
    </row>
    <row r="293" spans="4:6" x14ac:dyDescent="0.3">
      <c r="D293" s="16"/>
      <c r="E293" s="16"/>
      <c r="F293" s="19"/>
    </row>
    <row r="294" spans="4:6" x14ac:dyDescent="0.3">
      <c r="D294" s="16"/>
      <c r="E294" s="16"/>
      <c r="F294" s="19"/>
    </row>
    <row r="295" spans="4:6" x14ac:dyDescent="0.3">
      <c r="D295" s="16"/>
      <c r="E295" s="16"/>
      <c r="F295" s="19"/>
    </row>
    <row r="296" spans="4:6" x14ac:dyDescent="0.3">
      <c r="D296" s="16"/>
      <c r="E296" s="16"/>
      <c r="F296" s="19"/>
    </row>
    <row r="297" spans="4:6" x14ac:dyDescent="0.3">
      <c r="D297" s="16"/>
      <c r="E297" s="16"/>
      <c r="F297" s="19"/>
    </row>
    <row r="298" spans="4:6" x14ac:dyDescent="0.3">
      <c r="D298" s="16"/>
      <c r="E298" s="16"/>
      <c r="F298" s="19"/>
    </row>
    <row r="299" spans="4:6" x14ac:dyDescent="0.3">
      <c r="D299" s="16"/>
      <c r="E299" s="16"/>
      <c r="F299" s="19"/>
    </row>
    <row r="300" spans="4:6" x14ac:dyDescent="0.3">
      <c r="D300" s="16"/>
      <c r="E300" s="16"/>
      <c r="F300" s="19"/>
    </row>
    <row r="301" spans="4:6" x14ac:dyDescent="0.3">
      <c r="D301" s="16"/>
      <c r="E301" s="16"/>
      <c r="F301" s="19"/>
    </row>
    <row r="302" spans="4:6" x14ac:dyDescent="0.3">
      <c r="D302" s="16"/>
      <c r="E302" s="16"/>
      <c r="F302" s="19"/>
    </row>
    <row r="303" spans="4:6" x14ac:dyDescent="0.3">
      <c r="D303" s="16"/>
      <c r="E303" s="16"/>
      <c r="F303" s="19"/>
    </row>
    <row r="304" spans="4:6" x14ac:dyDescent="0.3">
      <c r="D304" s="16"/>
      <c r="E304" s="16"/>
      <c r="F304" s="19"/>
    </row>
    <row r="305" spans="4:6" x14ac:dyDescent="0.3">
      <c r="D305" s="16"/>
      <c r="E305" s="16"/>
      <c r="F305" s="19"/>
    </row>
    <row r="306" spans="4:6" x14ac:dyDescent="0.3">
      <c r="D306" s="16"/>
      <c r="E306" s="16"/>
      <c r="F306" s="19"/>
    </row>
    <row r="307" spans="4:6" x14ac:dyDescent="0.3">
      <c r="D307" s="16"/>
      <c r="E307" s="16"/>
      <c r="F307" s="19"/>
    </row>
    <row r="308" spans="4:6" x14ac:dyDescent="0.3">
      <c r="D308" s="16"/>
      <c r="E308" s="16"/>
      <c r="F308" s="19"/>
    </row>
    <row r="309" spans="4:6" x14ac:dyDescent="0.3">
      <c r="D309" s="16"/>
      <c r="E309" s="16"/>
      <c r="F309" s="19"/>
    </row>
    <row r="310" spans="4:6" x14ac:dyDescent="0.3">
      <c r="D310" s="16"/>
      <c r="E310" s="16"/>
      <c r="F310" s="19"/>
    </row>
    <row r="311" spans="4:6" x14ac:dyDescent="0.3">
      <c r="D311" s="16"/>
      <c r="E311" s="16"/>
      <c r="F311" s="19"/>
    </row>
    <row r="312" spans="4:6" x14ac:dyDescent="0.3">
      <c r="D312" s="16"/>
      <c r="E312" s="16"/>
      <c r="F312" s="19"/>
    </row>
    <row r="313" spans="4:6" x14ac:dyDescent="0.3">
      <c r="D313" s="16"/>
      <c r="E313" s="16"/>
      <c r="F313" s="19"/>
    </row>
    <row r="314" spans="4:6" x14ac:dyDescent="0.3">
      <c r="D314" s="16"/>
      <c r="E314" s="16"/>
      <c r="F314" s="19"/>
    </row>
    <row r="315" spans="4:6" x14ac:dyDescent="0.3">
      <c r="D315" s="16"/>
      <c r="E315" s="16"/>
      <c r="F315" s="19"/>
    </row>
    <row r="316" spans="4:6" x14ac:dyDescent="0.3">
      <c r="D316" s="16"/>
      <c r="E316" s="16"/>
      <c r="F316" s="19"/>
    </row>
    <row r="317" spans="4:6" x14ac:dyDescent="0.3">
      <c r="D317" s="16"/>
      <c r="E317" s="16"/>
      <c r="F317" s="19"/>
    </row>
    <row r="318" spans="4:6" x14ac:dyDescent="0.3">
      <c r="D318" s="16"/>
      <c r="E318" s="16"/>
      <c r="F318" s="19"/>
    </row>
    <row r="319" spans="4:6" x14ac:dyDescent="0.3">
      <c r="D319" s="16"/>
      <c r="E319" s="16"/>
      <c r="F319" s="19"/>
    </row>
    <row r="320" spans="4:6" x14ac:dyDescent="0.3">
      <c r="D320" s="16"/>
      <c r="E320" s="16"/>
      <c r="F320" s="19"/>
    </row>
    <row r="321" spans="4:6" x14ac:dyDescent="0.3">
      <c r="D321" s="16"/>
      <c r="E321" s="16"/>
      <c r="F321" s="19"/>
    </row>
    <row r="322" spans="4:6" x14ac:dyDescent="0.3">
      <c r="D322" s="16"/>
      <c r="E322" s="16"/>
      <c r="F322" s="19"/>
    </row>
    <row r="323" spans="4:6" x14ac:dyDescent="0.3">
      <c r="D323" s="16"/>
      <c r="E323" s="16"/>
      <c r="F323" s="19"/>
    </row>
    <row r="324" spans="4:6" x14ac:dyDescent="0.3">
      <c r="D324" s="16"/>
      <c r="E324" s="16"/>
      <c r="F324" s="19"/>
    </row>
    <row r="325" spans="4:6" x14ac:dyDescent="0.3">
      <c r="D325" s="16"/>
      <c r="E325" s="16"/>
      <c r="F325" s="19"/>
    </row>
    <row r="326" spans="4:6" x14ac:dyDescent="0.3">
      <c r="D326" s="16"/>
      <c r="E326" s="16"/>
      <c r="F326" s="19"/>
    </row>
    <row r="327" spans="4:6" x14ac:dyDescent="0.3">
      <c r="D327" s="16"/>
      <c r="E327" s="16"/>
      <c r="F327" s="19"/>
    </row>
    <row r="328" spans="4:6" x14ac:dyDescent="0.3">
      <c r="D328" s="16"/>
      <c r="E328" s="16"/>
      <c r="F328" s="19"/>
    </row>
    <row r="329" spans="4:6" x14ac:dyDescent="0.3">
      <c r="D329" s="16"/>
      <c r="E329" s="16"/>
      <c r="F329" s="19"/>
    </row>
    <row r="330" spans="4:6" x14ac:dyDescent="0.3">
      <c r="D330" s="16"/>
      <c r="E330" s="16"/>
      <c r="F330" s="19"/>
    </row>
    <row r="331" spans="4:6" x14ac:dyDescent="0.3">
      <c r="D331" s="16"/>
      <c r="E331" s="16"/>
      <c r="F331" s="19"/>
    </row>
    <row r="332" spans="4:6" x14ac:dyDescent="0.3">
      <c r="D332" s="16"/>
      <c r="E332" s="16"/>
      <c r="F332" s="19"/>
    </row>
    <row r="333" spans="4:6" x14ac:dyDescent="0.3">
      <c r="D333" s="16"/>
      <c r="E333" s="16"/>
      <c r="F333" s="19"/>
    </row>
    <row r="334" spans="4:6" x14ac:dyDescent="0.3">
      <c r="D334" s="16"/>
      <c r="E334" s="16"/>
      <c r="F334" s="19"/>
    </row>
    <row r="335" spans="4:6" x14ac:dyDescent="0.3">
      <c r="D335" s="16"/>
      <c r="E335" s="16"/>
      <c r="F335" s="19"/>
    </row>
    <row r="336" spans="4:6" x14ac:dyDescent="0.3">
      <c r="D336" s="16"/>
      <c r="E336" s="16"/>
      <c r="F336" s="19"/>
    </row>
    <row r="337" spans="4:6" x14ac:dyDescent="0.3">
      <c r="D337" s="16"/>
      <c r="E337" s="16"/>
      <c r="F337" s="19"/>
    </row>
    <row r="338" spans="4:6" x14ac:dyDescent="0.3">
      <c r="D338" s="16"/>
      <c r="E338" s="16"/>
      <c r="F338" s="19"/>
    </row>
    <row r="339" spans="4:6" x14ac:dyDescent="0.3">
      <c r="D339" s="16"/>
      <c r="E339" s="16"/>
      <c r="F339" s="19"/>
    </row>
    <row r="340" spans="4:6" x14ac:dyDescent="0.3">
      <c r="D340" s="16"/>
      <c r="E340" s="16"/>
      <c r="F340" s="19"/>
    </row>
    <row r="341" spans="4:6" x14ac:dyDescent="0.3">
      <c r="D341" s="16"/>
      <c r="E341" s="16"/>
      <c r="F341" s="19"/>
    </row>
    <row r="342" spans="4:6" x14ac:dyDescent="0.3">
      <c r="D342" s="16"/>
      <c r="E342" s="16"/>
      <c r="F342" s="19"/>
    </row>
    <row r="343" spans="4:6" x14ac:dyDescent="0.3">
      <c r="D343" s="16"/>
      <c r="E343" s="16"/>
      <c r="F343" s="19"/>
    </row>
    <row r="344" spans="4:6" x14ac:dyDescent="0.3">
      <c r="D344" s="16"/>
      <c r="E344" s="16"/>
      <c r="F344" s="19"/>
    </row>
    <row r="345" spans="4:6" x14ac:dyDescent="0.3">
      <c r="D345" s="16"/>
      <c r="E345" s="16"/>
      <c r="F345" s="19"/>
    </row>
    <row r="346" spans="4:6" x14ac:dyDescent="0.3">
      <c r="D346" s="16"/>
      <c r="E346" s="16"/>
      <c r="F346" s="19"/>
    </row>
    <row r="347" spans="4:6" x14ac:dyDescent="0.3">
      <c r="D347" s="16"/>
      <c r="E347" s="16"/>
      <c r="F347" s="19"/>
    </row>
    <row r="348" spans="4:6" x14ac:dyDescent="0.3">
      <c r="D348" s="16"/>
      <c r="E348" s="16"/>
      <c r="F348" s="19"/>
    </row>
    <row r="349" spans="4:6" x14ac:dyDescent="0.3">
      <c r="D349" s="16"/>
      <c r="E349" s="16"/>
      <c r="F349" s="19"/>
    </row>
    <row r="350" spans="4:6" x14ac:dyDescent="0.3">
      <c r="D350" s="16"/>
      <c r="E350" s="16"/>
      <c r="F350" s="19"/>
    </row>
    <row r="351" spans="4:6" x14ac:dyDescent="0.3">
      <c r="D351" s="16"/>
      <c r="E351" s="16"/>
      <c r="F351" s="19"/>
    </row>
    <row r="352" spans="4:6" x14ac:dyDescent="0.3">
      <c r="D352" s="16"/>
      <c r="E352" s="16"/>
      <c r="F352" s="19"/>
    </row>
    <row r="353" spans="4:6" x14ac:dyDescent="0.3">
      <c r="D353" s="16"/>
      <c r="E353" s="16"/>
      <c r="F353" s="19"/>
    </row>
    <row r="354" spans="4:6" x14ac:dyDescent="0.3">
      <c r="D354" s="16"/>
      <c r="E354" s="16"/>
      <c r="F354" s="19"/>
    </row>
    <row r="355" spans="4:6" x14ac:dyDescent="0.3">
      <c r="D355" s="16"/>
      <c r="E355" s="16"/>
      <c r="F355" s="19"/>
    </row>
    <row r="356" spans="4:6" x14ac:dyDescent="0.3">
      <c r="D356" s="16"/>
      <c r="E356" s="16"/>
      <c r="F356" s="19"/>
    </row>
    <row r="357" spans="4:6" x14ac:dyDescent="0.3">
      <c r="D357" s="16"/>
      <c r="E357" s="16"/>
      <c r="F357" s="19"/>
    </row>
    <row r="358" spans="4:6" x14ac:dyDescent="0.3">
      <c r="D358" s="16"/>
      <c r="E358" s="16"/>
      <c r="F358" s="19"/>
    </row>
    <row r="359" spans="4:6" x14ac:dyDescent="0.3">
      <c r="D359" s="16"/>
      <c r="E359" s="16"/>
      <c r="F359" s="19"/>
    </row>
    <row r="360" spans="4:6" x14ac:dyDescent="0.3">
      <c r="D360" s="16"/>
      <c r="E360" s="16"/>
      <c r="F360" s="19"/>
    </row>
    <row r="361" spans="4:6" x14ac:dyDescent="0.3">
      <c r="D361" s="16"/>
      <c r="E361" s="16"/>
      <c r="F361" s="19"/>
    </row>
    <row r="362" spans="4:6" x14ac:dyDescent="0.3">
      <c r="D362" s="16"/>
      <c r="E362" s="16"/>
      <c r="F362" s="19"/>
    </row>
    <row r="363" spans="4:6" x14ac:dyDescent="0.3">
      <c r="D363" s="16"/>
      <c r="E363" s="16"/>
      <c r="F363" s="19"/>
    </row>
    <row r="364" spans="4:6" x14ac:dyDescent="0.3">
      <c r="D364" s="16"/>
      <c r="E364" s="16"/>
      <c r="F364" s="19"/>
    </row>
    <row r="365" spans="4:6" x14ac:dyDescent="0.3">
      <c r="D365" s="16"/>
      <c r="E365" s="16"/>
      <c r="F365" s="19"/>
    </row>
    <row r="366" spans="4:6" x14ac:dyDescent="0.3">
      <c r="D366" s="16"/>
      <c r="E366" s="16"/>
      <c r="F366" s="19"/>
    </row>
    <row r="367" spans="4:6" x14ac:dyDescent="0.3">
      <c r="D367" s="16"/>
      <c r="E367" s="16"/>
      <c r="F367" s="19"/>
    </row>
    <row r="368" spans="4:6" x14ac:dyDescent="0.3">
      <c r="D368" s="16"/>
      <c r="E368" s="16"/>
      <c r="F368" s="19"/>
    </row>
    <row r="369" spans="4:6" x14ac:dyDescent="0.3">
      <c r="D369" s="16"/>
      <c r="E369" s="16"/>
      <c r="F369" s="19"/>
    </row>
    <row r="370" spans="4:6" x14ac:dyDescent="0.3">
      <c r="D370" s="16"/>
      <c r="E370" s="16"/>
      <c r="F370" s="19"/>
    </row>
    <row r="371" spans="4:6" x14ac:dyDescent="0.3">
      <c r="D371" s="16"/>
      <c r="E371" s="16"/>
      <c r="F371" s="19"/>
    </row>
    <row r="372" spans="4:6" x14ac:dyDescent="0.3">
      <c r="D372" s="16"/>
      <c r="E372" s="16"/>
      <c r="F372" s="19"/>
    </row>
    <row r="373" spans="4:6" x14ac:dyDescent="0.3">
      <c r="D373" s="16"/>
      <c r="E373" s="16"/>
      <c r="F373" s="19"/>
    </row>
    <row r="374" spans="4:6" x14ac:dyDescent="0.3">
      <c r="D374" s="16"/>
      <c r="E374" s="16"/>
      <c r="F374" s="19"/>
    </row>
    <row r="375" spans="4:6" x14ac:dyDescent="0.3">
      <c r="D375" s="16"/>
      <c r="E375" s="16"/>
      <c r="F375" s="19"/>
    </row>
    <row r="376" spans="4:6" x14ac:dyDescent="0.3">
      <c r="D376" s="16"/>
      <c r="E376" s="16"/>
      <c r="F376" s="19"/>
    </row>
    <row r="377" spans="4:6" x14ac:dyDescent="0.3">
      <c r="D377" s="16"/>
      <c r="E377" s="16"/>
      <c r="F377" s="19"/>
    </row>
    <row r="378" spans="4:6" x14ac:dyDescent="0.3">
      <c r="D378" s="16"/>
      <c r="E378" s="16"/>
      <c r="F378" s="19"/>
    </row>
    <row r="379" spans="4:6" x14ac:dyDescent="0.3">
      <c r="D379" s="16"/>
      <c r="E379" s="16"/>
      <c r="F379" s="19"/>
    </row>
    <row r="380" spans="4:6" x14ac:dyDescent="0.3">
      <c r="D380" s="16"/>
      <c r="E380" s="16"/>
      <c r="F380" s="19"/>
    </row>
    <row r="381" spans="4:6" x14ac:dyDescent="0.3">
      <c r="D381" s="16"/>
      <c r="E381" s="16"/>
      <c r="F381" s="19"/>
    </row>
    <row r="382" spans="4:6" x14ac:dyDescent="0.3">
      <c r="D382" s="16"/>
      <c r="E382" s="16"/>
      <c r="F382" s="19"/>
    </row>
    <row r="383" spans="4:6" x14ac:dyDescent="0.3">
      <c r="D383" s="16"/>
      <c r="E383" s="16"/>
      <c r="F383" s="19"/>
    </row>
    <row r="384" spans="4:6" x14ac:dyDescent="0.3">
      <c r="D384" s="16"/>
      <c r="E384" s="16"/>
      <c r="F384" s="19"/>
    </row>
    <row r="385" spans="4:6" x14ac:dyDescent="0.3">
      <c r="D385" s="16"/>
      <c r="E385" s="16"/>
      <c r="F385" s="19"/>
    </row>
    <row r="386" spans="4:6" x14ac:dyDescent="0.3">
      <c r="D386" s="16"/>
      <c r="E386" s="16"/>
      <c r="F386" s="19"/>
    </row>
    <row r="387" spans="4:6" x14ac:dyDescent="0.3">
      <c r="D387" s="16"/>
      <c r="E387" s="16"/>
      <c r="F387" s="19"/>
    </row>
    <row r="388" spans="4:6" x14ac:dyDescent="0.3">
      <c r="D388" s="16"/>
      <c r="E388" s="16"/>
      <c r="F388" s="19"/>
    </row>
    <row r="389" spans="4:6" x14ac:dyDescent="0.3">
      <c r="D389" s="16"/>
      <c r="E389" s="16"/>
      <c r="F389" s="19"/>
    </row>
    <row r="390" spans="4:6" x14ac:dyDescent="0.3">
      <c r="D390" s="16"/>
      <c r="E390" s="16"/>
      <c r="F390" s="19"/>
    </row>
    <row r="391" spans="4:6" x14ac:dyDescent="0.3">
      <c r="D391" s="16"/>
      <c r="E391" s="16"/>
      <c r="F391" s="19"/>
    </row>
    <row r="392" spans="4:6" x14ac:dyDescent="0.3">
      <c r="D392" s="16"/>
      <c r="E392" s="16"/>
      <c r="F392" s="19"/>
    </row>
    <row r="393" spans="4:6" x14ac:dyDescent="0.3">
      <c r="D393" s="16"/>
      <c r="E393" s="16"/>
      <c r="F393" s="19"/>
    </row>
    <row r="394" spans="4:6" x14ac:dyDescent="0.3">
      <c r="D394" s="16"/>
      <c r="E394" s="16"/>
      <c r="F394" s="19"/>
    </row>
    <row r="395" spans="4:6" x14ac:dyDescent="0.3">
      <c r="D395" s="16"/>
      <c r="E395" s="16"/>
      <c r="F395" s="19"/>
    </row>
    <row r="396" spans="4:6" x14ac:dyDescent="0.3">
      <c r="D396" s="16"/>
      <c r="E396" s="16"/>
      <c r="F396" s="19"/>
    </row>
    <row r="397" spans="4:6" x14ac:dyDescent="0.3">
      <c r="D397" s="16"/>
      <c r="E397" s="16"/>
      <c r="F397" s="19"/>
    </row>
    <row r="398" spans="4:6" x14ac:dyDescent="0.3">
      <c r="D398" s="16"/>
      <c r="E398" s="16"/>
      <c r="F398" s="19"/>
    </row>
    <row r="399" spans="4:6" x14ac:dyDescent="0.3">
      <c r="D399" s="16"/>
      <c r="E399" s="16"/>
      <c r="F399" s="19"/>
    </row>
    <row r="400" spans="4:6" x14ac:dyDescent="0.3">
      <c r="D400" s="16"/>
      <c r="E400" s="16"/>
      <c r="F400" s="19"/>
    </row>
    <row r="401" spans="4:6" x14ac:dyDescent="0.3">
      <c r="D401" s="16"/>
      <c r="E401" s="16"/>
      <c r="F401" s="19"/>
    </row>
    <row r="402" spans="4:6" x14ac:dyDescent="0.3">
      <c r="D402" s="16"/>
      <c r="E402" s="16"/>
      <c r="F402" s="19"/>
    </row>
    <row r="403" spans="4:6" x14ac:dyDescent="0.3">
      <c r="D403" s="16"/>
      <c r="E403" s="16"/>
      <c r="F403" s="19"/>
    </row>
    <row r="404" spans="4:6" x14ac:dyDescent="0.3">
      <c r="D404" s="16"/>
      <c r="E404" s="16"/>
      <c r="F404" s="19"/>
    </row>
    <row r="405" spans="4:6" x14ac:dyDescent="0.3">
      <c r="D405" s="16"/>
      <c r="E405" s="16"/>
      <c r="F405" s="19"/>
    </row>
    <row r="406" spans="4:6" x14ac:dyDescent="0.3">
      <c r="D406" s="16"/>
      <c r="E406" s="16"/>
      <c r="F406" s="19"/>
    </row>
    <row r="407" spans="4:6" x14ac:dyDescent="0.3">
      <c r="D407" s="16"/>
      <c r="E407" s="16"/>
      <c r="F407" s="19"/>
    </row>
    <row r="408" spans="4:6" x14ac:dyDescent="0.3">
      <c r="D408" s="16"/>
      <c r="E408" s="16"/>
      <c r="F408" s="19"/>
    </row>
    <row r="409" spans="4:6" x14ac:dyDescent="0.3">
      <c r="D409" s="16"/>
      <c r="E409" s="16"/>
      <c r="F409" s="19"/>
    </row>
    <row r="410" spans="4:6" x14ac:dyDescent="0.3">
      <c r="D410" s="16"/>
      <c r="E410" s="16"/>
      <c r="F410" s="19"/>
    </row>
    <row r="411" spans="4:6" x14ac:dyDescent="0.3">
      <c r="D411" s="16"/>
      <c r="E411" s="16"/>
      <c r="F411" s="19"/>
    </row>
    <row r="412" spans="4:6" x14ac:dyDescent="0.3">
      <c r="D412" s="16"/>
      <c r="E412" s="16"/>
      <c r="F412" s="19"/>
    </row>
    <row r="413" spans="4:6" x14ac:dyDescent="0.3">
      <c r="D413" s="16"/>
      <c r="E413" s="16"/>
      <c r="F413" s="19"/>
    </row>
    <row r="414" spans="4:6" x14ac:dyDescent="0.3">
      <c r="D414" s="16"/>
      <c r="E414" s="16"/>
      <c r="F414" s="19"/>
    </row>
    <row r="415" spans="4:6" x14ac:dyDescent="0.3">
      <c r="D415" s="16"/>
      <c r="E415" s="16"/>
      <c r="F415" s="19"/>
    </row>
    <row r="416" spans="4:6" x14ac:dyDescent="0.3">
      <c r="D416" s="16"/>
      <c r="E416" s="16"/>
      <c r="F416" s="19"/>
    </row>
    <row r="417" spans="4:6" x14ac:dyDescent="0.3">
      <c r="D417" s="16"/>
      <c r="E417" s="16"/>
      <c r="F417" s="19"/>
    </row>
    <row r="418" spans="4:6" x14ac:dyDescent="0.3">
      <c r="D418" s="16"/>
      <c r="E418" s="16"/>
      <c r="F418" s="19"/>
    </row>
    <row r="419" spans="4:6" x14ac:dyDescent="0.3">
      <c r="D419" s="16"/>
      <c r="E419" s="16"/>
      <c r="F419" s="19"/>
    </row>
    <row r="420" spans="4:6" x14ac:dyDescent="0.3">
      <c r="D420" s="16"/>
      <c r="E420" s="16"/>
      <c r="F420" s="19"/>
    </row>
    <row r="421" spans="4:6" x14ac:dyDescent="0.3">
      <c r="D421" s="16"/>
      <c r="E421" s="16"/>
      <c r="F421" s="19"/>
    </row>
    <row r="422" spans="4:6" x14ac:dyDescent="0.3">
      <c r="D422" s="16"/>
      <c r="E422" s="16"/>
      <c r="F422" s="19"/>
    </row>
    <row r="423" spans="4:6" x14ac:dyDescent="0.3">
      <c r="D423" s="16"/>
      <c r="E423" s="16"/>
      <c r="F423" s="19"/>
    </row>
    <row r="424" spans="4:6" x14ac:dyDescent="0.3">
      <c r="D424" s="16"/>
      <c r="E424" s="16"/>
      <c r="F424" s="19"/>
    </row>
    <row r="425" spans="4:6" x14ac:dyDescent="0.3">
      <c r="D425" s="16"/>
      <c r="E425" s="16"/>
      <c r="F425" s="19"/>
    </row>
    <row r="426" spans="4:6" x14ac:dyDescent="0.3">
      <c r="D426" s="16"/>
      <c r="E426" s="16"/>
      <c r="F426" s="19"/>
    </row>
    <row r="427" spans="4:6" x14ac:dyDescent="0.3">
      <c r="D427" s="16"/>
      <c r="E427" s="16"/>
      <c r="F427" s="19"/>
    </row>
    <row r="428" spans="4:6" x14ac:dyDescent="0.3">
      <c r="D428" s="16"/>
      <c r="E428" s="16"/>
      <c r="F428" s="19"/>
    </row>
    <row r="429" spans="4:6" x14ac:dyDescent="0.3">
      <c r="D429" s="16"/>
      <c r="E429" s="16"/>
      <c r="F429" s="19"/>
    </row>
    <row r="430" spans="4:6" x14ac:dyDescent="0.3">
      <c r="D430" s="16"/>
      <c r="E430" s="16"/>
      <c r="F430" s="19"/>
    </row>
    <row r="431" spans="4:6" x14ac:dyDescent="0.3">
      <c r="D431" s="16"/>
      <c r="E431" s="16"/>
      <c r="F431" s="19"/>
    </row>
    <row r="432" spans="4:6" x14ac:dyDescent="0.3">
      <c r="D432" s="16"/>
      <c r="E432" s="16"/>
      <c r="F432" s="19"/>
    </row>
    <row r="433" spans="4:6" x14ac:dyDescent="0.3">
      <c r="D433" s="16"/>
      <c r="E433" s="16"/>
      <c r="F433" s="19"/>
    </row>
    <row r="434" spans="4:6" x14ac:dyDescent="0.3">
      <c r="D434" s="16"/>
      <c r="E434" s="16"/>
      <c r="F434" s="19"/>
    </row>
    <row r="435" spans="4:6" x14ac:dyDescent="0.3">
      <c r="D435" s="16"/>
      <c r="E435" s="16"/>
      <c r="F435" s="19"/>
    </row>
    <row r="436" spans="4:6" x14ac:dyDescent="0.3">
      <c r="D436" s="16"/>
      <c r="E436" s="16"/>
      <c r="F436" s="19"/>
    </row>
    <row r="437" spans="4:6" x14ac:dyDescent="0.3">
      <c r="D437" s="16"/>
      <c r="E437" s="16"/>
      <c r="F437" s="19"/>
    </row>
    <row r="438" spans="4:6" x14ac:dyDescent="0.3">
      <c r="D438" s="16"/>
      <c r="E438" s="16"/>
      <c r="F438" s="19"/>
    </row>
    <row r="439" spans="4:6" x14ac:dyDescent="0.3">
      <c r="D439" s="16"/>
      <c r="E439" s="16"/>
      <c r="F439" s="19"/>
    </row>
    <row r="440" spans="4:6" x14ac:dyDescent="0.3">
      <c r="D440" s="16"/>
      <c r="E440" s="16"/>
      <c r="F440" s="19"/>
    </row>
    <row r="441" spans="4:6" x14ac:dyDescent="0.3">
      <c r="D441" s="16"/>
      <c r="E441" s="16"/>
      <c r="F441" s="19"/>
    </row>
    <row r="442" spans="4:6" x14ac:dyDescent="0.3">
      <c r="D442" s="16"/>
      <c r="E442" s="16"/>
      <c r="F442" s="19"/>
    </row>
    <row r="443" spans="4:6" x14ac:dyDescent="0.3">
      <c r="D443" s="16"/>
      <c r="E443" s="16"/>
      <c r="F443" s="19"/>
    </row>
    <row r="444" spans="4:6" x14ac:dyDescent="0.3">
      <c r="D444" s="16"/>
      <c r="E444" s="16"/>
      <c r="F444" s="19"/>
    </row>
    <row r="445" spans="4:6" x14ac:dyDescent="0.3">
      <c r="D445" s="16"/>
      <c r="E445" s="16"/>
      <c r="F445" s="19"/>
    </row>
    <row r="446" spans="4:6" x14ac:dyDescent="0.3">
      <c r="D446" s="16"/>
      <c r="E446" s="16"/>
      <c r="F446" s="19"/>
    </row>
    <row r="447" spans="4:6" x14ac:dyDescent="0.3">
      <c r="D447" s="16"/>
      <c r="E447" s="16"/>
      <c r="F447" s="19"/>
    </row>
    <row r="448" spans="4:6" x14ac:dyDescent="0.3">
      <c r="D448" s="16"/>
      <c r="E448" s="16"/>
      <c r="F448" s="19"/>
    </row>
    <row r="449" spans="4:6" x14ac:dyDescent="0.3">
      <c r="D449" s="16"/>
      <c r="E449" s="16"/>
      <c r="F449" s="19"/>
    </row>
    <row r="450" spans="4:6" x14ac:dyDescent="0.3">
      <c r="D450" s="16"/>
      <c r="E450" s="16"/>
      <c r="F450" s="19"/>
    </row>
    <row r="451" spans="4:6" x14ac:dyDescent="0.3">
      <c r="D451" s="16"/>
      <c r="E451" s="16"/>
      <c r="F451" s="19"/>
    </row>
    <row r="452" spans="4:6" x14ac:dyDescent="0.3">
      <c r="D452" s="16"/>
      <c r="E452" s="16"/>
      <c r="F452" s="19"/>
    </row>
    <row r="453" spans="4:6" x14ac:dyDescent="0.3">
      <c r="D453" s="16"/>
      <c r="E453" s="16"/>
      <c r="F453" s="19"/>
    </row>
    <row r="454" spans="4:6" x14ac:dyDescent="0.3">
      <c r="D454" s="16"/>
      <c r="E454" s="16"/>
      <c r="F454" s="19"/>
    </row>
    <row r="455" spans="4:6" x14ac:dyDescent="0.3">
      <c r="D455" s="16"/>
      <c r="E455" s="16"/>
      <c r="F455" s="19"/>
    </row>
    <row r="456" spans="4:6" x14ac:dyDescent="0.3">
      <c r="D456" s="16"/>
      <c r="E456" s="16"/>
      <c r="F456" s="19"/>
    </row>
    <row r="457" spans="4:6" x14ac:dyDescent="0.3">
      <c r="D457" s="16"/>
      <c r="E457" s="16"/>
      <c r="F457" s="19"/>
    </row>
    <row r="458" spans="4:6" x14ac:dyDescent="0.3">
      <c r="D458" s="16"/>
      <c r="E458" s="16"/>
      <c r="F458" s="19"/>
    </row>
    <row r="459" spans="4:6" x14ac:dyDescent="0.3">
      <c r="D459" s="16"/>
      <c r="E459" s="16"/>
      <c r="F459" s="19"/>
    </row>
    <row r="460" spans="4:6" x14ac:dyDescent="0.3">
      <c r="D460" s="16"/>
      <c r="E460" s="16"/>
      <c r="F460" s="19"/>
    </row>
    <row r="461" spans="4:6" x14ac:dyDescent="0.3">
      <c r="D461" s="16"/>
      <c r="E461" s="16"/>
      <c r="F461" s="19"/>
    </row>
    <row r="462" spans="4:6" x14ac:dyDescent="0.3">
      <c r="D462" s="16"/>
      <c r="E462" s="16"/>
      <c r="F462" s="19"/>
    </row>
    <row r="463" spans="4:6" x14ac:dyDescent="0.3">
      <c r="D463" s="16"/>
      <c r="E463" s="16"/>
      <c r="F463" s="19"/>
    </row>
    <row r="464" spans="4:6" x14ac:dyDescent="0.3">
      <c r="D464" s="16"/>
      <c r="E464" s="16"/>
      <c r="F464" s="19"/>
    </row>
    <row r="465" spans="4:6" x14ac:dyDescent="0.3">
      <c r="D465" s="16"/>
      <c r="E465" s="16"/>
      <c r="F465" s="19"/>
    </row>
    <row r="466" spans="4:6" x14ac:dyDescent="0.3">
      <c r="D466" s="16"/>
      <c r="E466" s="16"/>
      <c r="F466" s="19"/>
    </row>
    <row r="467" spans="4:6" x14ac:dyDescent="0.3">
      <c r="D467" s="16"/>
      <c r="E467" s="16"/>
      <c r="F467" s="19"/>
    </row>
    <row r="468" spans="4:6" x14ac:dyDescent="0.3">
      <c r="D468" s="16"/>
      <c r="E468" s="16"/>
      <c r="F468" s="19"/>
    </row>
    <row r="469" spans="4:6" x14ac:dyDescent="0.3">
      <c r="D469" s="16"/>
      <c r="E469" s="16"/>
      <c r="F469" s="19"/>
    </row>
    <row r="470" spans="4:6" x14ac:dyDescent="0.3">
      <c r="D470" s="16"/>
      <c r="E470" s="16"/>
      <c r="F470" s="19"/>
    </row>
    <row r="471" spans="4:6" x14ac:dyDescent="0.3">
      <c r="D471" s="16"/>
      <c r="E471" s="16"/>
      <c r="F471" s="19"/>
    </row>
    <row r="472" spans="4:6" x14ac:dyDescent="0.3">
      <c r="D472" s="16"/>
      <c r="E472" s="16"/>
      <c r="F472" s="19"/>
    </row>
    <row r="473" spans="4:6" x14ac:dyDescent="0.3">
      <c r="D473" s="16"/>
      <c r="E473" s="16"/>
      <c r="F473" s="19"/>
    </row>
    <row r="474" spans="4:6" x14ac:dyDescent="0.3">
      <c r="D474" s="16"/>
      <c r="E474" s="16"/>
      <c r="F474" s="19"/>
    </row>
    <row r="475" spans="4:6" x14ac:dyDescent="0.3">
      <c r="D475" s="16"/>
      <c r="E475" s="16"/>
      <c r="F475" s="19"/>
    </row>
    <row r="476" spans="4:6" x14ac:dyDescent="0.3">
      <c r="D476" s="16"/>
      <c r="E476" s="16"/>
      <c r="F476" s="19"/>
    </row>
    <row r="477" spans="4:6" x14ac:dyDescent="0.3">
      <c r="D477" s="16"/>
      <c r="E477" s="16"/>
      <c r="F477" s="19"/>
    </row>
    <row r="478" spans="4:6" x14ac:dyDescent="0.3">
      <c r="D478" s="16"/>
      <c r="E478" s="16"/>
      <c r="F478" s="19"/>
    </row>
    <row r="479" spans="4:6" x14ac:dyDescent="0.3">
      <c r="D479" s="16"/>
      <c r="E479" s="16"/>
      <c r="F479" s="19"/>
    </row>
    <row r="480" spans="4:6" x14ac:dyDescent="0.3">
      <c r="D480" s="16"/>
      <c r="E480" s="16"/>
      <c r="F480" s="19"/>
    </row>
    <row r="481" spans="4:6" x14ac:dyDescent="0.3">
      <c r="D481" s="16"/>
      <c r="E481" s="16"/>
      <c r="F481" s="19"/>
    </row>
    <row r="482" spans="4:6" x14ac:dyDescent="0.3">
      <c r="D482" s="16"/>
      <c r="E482" s="16"/>
      <c r="F482" s="19"/>
    </row>
    <row r="483" spans="4:6" x14ac:dyDescent="0.3">
      <c r="D483" s="16"/>
      <c r="E483" s="16"/>
      <c r="F483" s="19"/>
    </row>
    <row r="484" spans="4:6" x14ac:dyDescent="0.3">
      <c r="D484" s="16"/>
      <c r="E484" s="16"/>
      <c r="F484" s="19"/>
    </row>
    <row r="485" spans="4:6" x14ac:dyDescent="0.3">
      <c r="D485" s="16"/>
      <c r="E485" s="16"/>
      <c r="F485" s="19"/>
    </row>
    <row r="486" spans="4:6" x14ac:dyDescent="0.3">
      <c r="D486" s="16"/>
      <c r="E486" s="16"/>
      <c r="F486" s="19"/>
    </row>
    <row r="487" spans="4:6" x14ac:dyDescent="0.3">
      <c r="D487" s="16"/>
      <c r="E487" s="16"/>
      <c r="F487" s="19"/>
    </row>
    <row r="488" spans="4:6" x14ac:dyDescent="0.3">
      <c r="D488" s="16"/>
      <c r="E488" s="16"/>
      <c r="F488" s="19"/>
    </row>
    <row r="489" spans="4:6" x14ac:dyDescent="0.3">
      <c r="D489" s="16"/>
      <c r="E489" s="16"/>
      <c r="F489" s="19"/>
    </row>
    <row r="490" spans="4:6" x14ac:dyDescent="0.3">
      <c r="D490" s="16"/>
      <c r="E490" s="16"/>
      <c r="F490" s="19"/>
    </row>
    <row r="491" spans="4:6" x14ac:dyDescent="0.3">
      <c r="D491" s="16"/>
      <c r="E491" s="16"/>
      <c r="F491" s="19"/>
    </row>
    <row r="492" spans="4:6" x14ac:dyDescent="0.3">
      <c r="D492" s="16"/>
      <c r="E492" s="16"/>
      <c r="F492" s="19"/>
    </row>
    <row r="493" spans="4:6" x14ac:dyDescent="0.3">
      <c r="D493" s="16"/>
      <c r="E493" s="16"/>
      <c r="F493" s="19"/>
    </row>
    <row r="494" spans="4:6" x14ac:dyDescent="0.3">
      <c r="D494" s="16"/>
      <c r="E494" s="16"/>
      <c r="F494" s="19"/>
    </row>
    <row r="495" spans="4:6" x14ac:dyDescent="0.3">
      <c r="D495" s="16"/>
      <c r="E495" s="16"/>
      <c r="F495" s="19"/>
    </row>
    <row r="496" spans="4:6" x14ac:dyDescent="0.3">
      <c r="D496" s="16"/>
      <c r="E496" s="16"/>
      <c r="F496" s="19"/>
    </row>
    <row r="497" spans="4:6" x14ac:dyDescent="0.3">
      <c r="D497" s="16"/>
      <c r="E497" s="16"/>
      <c r="F497" s="19"/>
    </row>
    <row r="498" spans="4:6" x14ac:dyDescent="0.3">
      <c r="D498" s="16"/>
      <c r="E498" s="16"/>
      <c r="F498" s="19"/>
    </row>
    <row r="499" spans="4:6" x14ac:dyDescent="0.3">
      <c r="D499" s="16"/>
      <c r="E499" s="16"/>
      <c r="F499" s="19"/>
    </row>
    <row r="500" spans="4:6" x14ac:dyDescent="0.3">
      <c r="D500" s="16"/>
      <c r="E500" s="16"/>
      <c r="F500" s="19"/>
    </row>
    <row r="501" spans="4:6" x14ac:dyDescent="0.3">
      <c r="D501" s="16"/>
      <c r="E501" s="16"/>
      <c r="F501" s="19"/>
    </row>
    <row r="502" spans="4:6" x14ac:dyDescent="0.3">
      <c r="D502" s="16"/>
      <c r="E502" s="16"/>
      <c r="F502" s="19"/>
    </row>
    <row r="503" spans="4:6" x14ac:dyDescent="0.3">
      <c r="D503" s="16"/>
      <c r="E503" s="16"/>
      <c r="F503" s="19"/>
    </row>
    <row r="504" spans="4:6" x14ac:dyDescent="0.3">
      <c r="D504" s="16"/>
      <c r="E504" s="16"/>
      <c r="F504" s="19"/>
    </row>
    <row r="505" spans="4:6" x14ac:dyDescent="0.3">
      <c r="D505" s="16"/>
      <c r="E505" s="16"/>
      <c r="F505" s="19"/>
    </row>
    <row r="506" spans="4:6" x14ac:dyDescent="0.3">
      <c r="D506" s="16"/>
      <c r="E506" s="16"/>
      <c r="F506" s="19"/>
    </row>
    <row r="507" spans="4:6" x14ac:dyDescent="0.3">
      <c r="D507" s="16"/>
      <c r="E507" s="16"/>
      <c r="F507" s="19"/>
    </row>
    <row r="508" spans="4:6" x14ac:dyDescent="0.3">
      <c r="D508" s="16"/>
      <c r="E508" s="16"/>
      <c r="F508" s="19"/>
    </row>
    <row r="509" spans="4:6" x14ac:dyDescent="0.3">
      <c r="D509" s="16"/>
      <c r="E509" s="16"/>
      <c r="F509" s="19"/>
    </row>
    <row r="510" spans="4:6" x14ac:dyDescent="0.3">
      <c r="D510" s="16"/>
      <c r="E510" s="16"/>
      <c r="F510" s="19"/>
    </row>
    <row r="511" spans="4:6" x14ac:dyDescent="0.3">
      <c r="D511" s="16"/>
      <c r="E511" s="16"/>
      <c r="F511" s="19"/>
    </row>
    <row r="512" spans="4:6" x14ac:dyDescent="0.3">
      <c r="D512" s="16"/>
      <c r="E512" s="16"/>
      <c r="F512" s="19"/>
    </row>
    <row r="513" spans="4:6" x14ac:dyDescent="0.3">
      <c r="D513" s="16"/>
      <c r="E513" s="16"/>
      <c r="F513" s="19"/>
    </row>
    <row r="514" spans="4:6" x14ac:dyDescent="0.3">
      <c r="D514" s="16"/>
      <c r="E514" s="16"/>
      <c r="F514" s="19"/>
    </row>
    <row r="515" spans="4:6" x14ac:dyDescent="0.3">
      <c r="D515" s="16"/>
      <c r="E515" s="16"/>
      <c r="F515" s="19"/>
    </row>
    <row r="516" spans="4:6" x14ac:dyDescent="0.3">
      <c r="D516" s="16"/>
      <c r="E516" s="16"/>
      <c r="F516" s="19"/>
    </row>
    <row r="517" spans="4:6" x14ac:dyDescent="0.3">
      <c r="D517" s="16"/>
      <c r="E517" s="16"/>
      <c r="F517" s="19"/>
    </row>
    <row r="518" spans="4:6" x14ac:dyDescent="0.3">
      <c r="D518" s="16"/>
      <c r="E518" s="16"/>
      <c r="F518" s="19"/>
    </row>
    <row r="519" spans="4:6" x14ac:dyDescent="0.3">
      <c r="D519" s="16"/>
      <c r="E519" s="16"/>
      <c r="F519" s="19"/>
    </row>
    <row r="520" spans="4:6" x14ac:dyDescent="0.3">
      <c r="D520" s="16"/>
      <c r="E520" s="16"/>
      <c r="F520" s="19"/>
    </row>
    <row r="521" spans="4:6" x14ac:dyDescent="0.3">
      <c r="D521" s="16"/>
      <c r="E521" s="16"/>
      <c r="F521" s="19"/>
    </row>
    <row r="522" spans="4:6" x14ac:dyDescent="0.3">
      <c r="D522" s="16"/>
      <c r="E522" s="16"/>
      <c r="F522" s="19"/>
    </row>
    <row r="523" spans="4:6" x14ac:dyDescent="0.3">
      <c r="D523" s="16"/>
      <c r="E523" s="16"/>
      <c r="F523" s="19"/>
    </row>
    <row r="524" spans="4:6" x14ac:dyDescent="0.3">
      <c r="D524" s="16"/>
      <c r="E524" s="16"/>
      <c r="F524" s="19"/>
    </row>
    <row r="525" spans="4:6" x14ac:dyDescent="0.3">
      <c r="D525" s="16"/>
      <c r="E525" s="16"/>
      <c r="F525" s="19"/>
    </row>
    <row r="526" spans="4:6" x14ac:dyDescent="0.3">
      <c r="D526" s="16"/>
      <c r="E526" s="16"/>
      <c r="F526" s="19"/>
    </row>
    <row r="527" spans="4:6" x14ac:dyDescent="0.3">
      <c r="D527" s="16"/>
      <c r="E527" s="16"/>
      <c r="F527" s="19"/>
    </row>
    <row r="528" spans="4:6" x14ac:dyDescent="0.3">
      <c r="D528" s="16"/>
      <c r="E528" s="16"/>
      <c r="F528" s="19"/>
    </row>
    <row r="529" spans="4:6" x14ac:dyDescent="0.3">
      <c r="D529" s="16"/>
      <c r="E529" s="16"/>
      <c r="F529" s="19"/>
    </row>
    <row r="530" spans="4:6" x14ac:dyDescent="0.3">
      <c r="D530" s="16"/>
      <c r="E530" s="16"/>
      <c r="F530" s="19"/>
    </row>
    <row r="531" spans="4:6" x14ac:dyDescent="0.3">
      <c r="D531" s="16"/>
      <c r="E531" s="16"/>
      <c r="F531" s="19"/>
    </row>
    <row r="532" spans="4:6" x14ac:dyDescent="0.3">
      <c r="D532" s="16"/>
      <c r="E532" s="16"/>
      <c r="F532" s="19"/>
    </row>
    <row r="533" spans="4:6" x14ac:dyDescent="0.3">
      <c r="D533" s="16"/>
      <c r="E533" s="16"/>
      <c r="F533" s="19"/>
    </row>
    <row r="534" spans="4:6" x14ac:dyDescent="0.3">
      <c r="D534" s="16"/>
      <c r="E534" s="16"/>
      <c r="F534" s="19"/>
    </row>
    <row r="535" spans="4:6" x14ac:dyDescent="0.3">
      <c r="D535" s="16"/>
      <c r="E535" s="16"/>
      <c r="F535" s="19"/>
    </row>
  </sheetData>
  <sheetProtection sheet="1" objects="1" scenarios="1"/>
  <mergeCells count="2">
    <mergeCell ref="A1:F1"/>
    <mergeCell ref="A2:F2"/>
  </mergeCells>
  <phoneticPr fontId="0" type="noConversion"/>
  <pageMargins left="0.48" right="0.46" top="1" bottom="1" header="0.5" footer="0.5"/>
  <pageSetup paperSize="9" orientation="portrait" blackAndWhite="1" verticalDpi="0" r:id="rId1"/>
  <headerFooter alignWithMargins="0">
    <oddHeader>&amp;C&amp;"Arial,Bold"&amp;11Zakat Calculation Spreadsheet&amp;R&amp;D</oddHeader>
    <oddFooter>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5C03-110B-4B5D-8629-6D966E8F928F}">
  <dimension ref="B4:D35"/>
  <sheetViews>
    <sheetView tabSelected="1" topLeftCell="A11" workbookViewId="0">
      <selection activeCell="D38" sqref="D38"/>
    </sheetView>
  </sheetViews>
  <sheetFormatPr defaultRowHeight="12.5" x14ac:dyDescent="0.25"/>
  <sheetData>
    <row r="4" spans="2:4" x14ac:dyDescent="0.25">
      <c r="B4" t="s">
        <v>101</v>
      </c>
    </row>
    <row r="5" spans="2:4" x14ac:dyDescent="0.25">
      <c r="C5" t="s">
        <v>103</v>
      </c>
      <c r="D5">
        <v>1948</v>
      </c>
    </row>
    <row r="6" spans="2:4" x14ac:dyDescent="0.25">
      <c r="C6" t="s">
        <v>102</v>
      </c>
      <c r="D6">
        <v>101346</v>
      </c>
    </row>
    <row r="7" spans="2:4" x14ac:dyDescent="0.25">
      <c r="C7">
        <v>401</v>
      </c>
      <c r="D7">
        <v>64217</v>
      </c>
    </row>
    <row r="8" spans="2:4" x14ac:dyDescent="0.25">
      <c r="B8" t="s">
        <v>104</v>
      </c>
      <c r="C8" t="s">
        <v>103</v>
      </c>
      <c r="D8">
        <v>4700</v>
      </c>
    </row>
    <row r="9" spans="2:4" x14ac:dyDescent="0.25">
      <c r="C9" t="s">
        <v>105</v>
      </c>
      <c r="D9">
        <v>700</v>
      </c>
    </row>
    <row r="10" spans="2:4" x14ac:dyDescent="0.25">
      <c r="C10" t="s">
        <v>102</v>
      </c>
      <c r="D10">
        <v>3400</v>
      </c>
    </row>
    <row r="11" spans="2:4" x14ac:dyDescent="0.25">
      <c r="B11" t="s">
        <v>106</v>
      </c>
      <c r="C11">
        <v>500</v>
      </c>
    </row>
    <row r="12" spans="2:4" x14ac:dyDescent="0.25">
      <c r="C12" t="s">
        <v>107</v>
      </c>
      <c r="D12">
        <v>3825</v>
      </c>
    </row>
    <row r="13" spans="2:4" x14ac:dyDescent="0.25">
      <c r="C13" t="s">
        <v>105</v>
      </c>
      <c r="D13">
        <v>8121</v>
      </c>
    </row>
    <row r="14" spans="2:4" x14ac:dyDescent="0.25">
      <c r="C14" t="s">
        <v>108</v>
      </c>
      <c r="D14">
        <f>38000-17000</f>
        <v>21000</v>
      </c>
    </row>
    <row r="15" spans="2:4" x14ac:dyDescent="0.25">
      <c r="C15" t="s">
        <v>102</v>
      </c>
      <c r="D15">
        <v>17000</v>
      </c>
    </row>
    <row r="20" spans="3:4" x14ac:dyDescent="0.25">
      <c r="C20" t="s">
        <v>109</v>
      </c>
      <c r="D20" t="s">
        <v>110</v>
      </c>
    </row>
    <row r="23" spans="3:4" x14ac:dyDescent="0.25">
      <c r="D23">
        <v>75</v>
      </c>
    </row>
    <row r="24" spans="3:4" x14ac:dyDescent="0.25">
      <c r="D24">
        <v>13</v>
      </c>
    </row>
    <row r="25" spans="3:4" x14ac:dyDescent="0.25">
      <c r="D25">
        <v>7</v>
      </c>
    </row>
    <row r="26" spans="3:4" x14ac:dyDescent="0.25">
      <c r="D26">
        <v>5</v>
      </c>
    </row>
    <row r="27" spans="3:4" x14ac:dyDescent="0.25">
      <c r="D27">
        <v>10</v>
      </c>
    </row>
    <row r="28" spans="3:4" x14ac:dyDescent="0.25">
      <c r="D28">
        <v>5</v>
      </c>
    </row>
    <row r="29" spans="3:4" x14ac:dyDescent="0.25">
      <c r="D29">
        <v>5</v>
      </c>
    </row>
    <row r="30" spans="3:4" x14ac:dyDescent="0.25">
      <c r="D30">
        <v>10.5</v>
      </c>
    </row>
    <row r="31" spans="3:4" x14ac:dyDescent="0.25">
      <c r="D31">
        <v>5</v>
      </c>
    </row>
    <row r="32" spans="3:4" x14ac:dyDescent="0.25">
      <c r="D32">
        <f>135.5*8</f>
        <v>1084</v>
      </c>
    </row>
    <row r="35" spans="3:3" x14ac:dyDescent="0.25">
      <c r="C35">
        <f>6000*91</f>
        <v>546000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904E-C86D-431D-8B7E-35A7EA8BDE3D}">
  <dimension ref="A1:B52"/>
  <sheetViews>
    <sheetView workbookViewId="0"/>
  </sheetViews>
  <sheetFormatPr defaultRowHeight="12.5" x14ac:dyDescent="0.25"/>
  <cols>
    <col min="1" max="1" width="3.81640625" style="11" customWidth="1"/>
    <col min="2" max="2" width="89.7265625" style="6" customWidth="1"/>
  </cols>
  <sheetData>
    <row r="1" spans="1:2" ht="18.75" customHeight="1" x14ac:dyDescent="0.3">
      <c r="B1" s="7" t="s">
        <v>95</v>
      </c>
    </row>
    <row r="2" spans="1:2" ht="59.25" customHeight="1" x14ac:dyDescent="0.25">
      <c r="B2" s="6" t="s">
        <v>96</v>
      </c>
    </row>
    <row r="3" spans="1:2" ht="37.5" x14ac:dyDescent="0.25">
      <c r="B3" s="64" t="s">
        <v>97</v>
      </c>
    </row>
    <row r="4" spans="1:2" ht="50" x14ac:dyDescent="0.25">
      <c r="B4" s="64" t="s">
        <v>98</v>
      </c>
    </row>
    <row r="5" spans="1:2" ht="13" x14ac:dyDescent="0.3">
      <c r="B5" s="64" t="s">
        <v>99</v>
      </c>
    </row>
    <row r="6" spans="1:2" ht="21.75" customHeight="1" x14ac:dyDescent="0.3">
      <c r="B6" s="7" t="s">
        <v>100</v>
      </c>
    </row>
    <row r="7" spans="1:2" s="10" customFormat="1" ht="18.75" customHeight="1" thickBot="1" x14ac:dyDescent="0.35">
      <c r="A7" s="12">
        <v>1</v>
      </c>
      <c r="B7" s="9" t="s">
        <v>58</v>
      </c>
    </row>
    <row r="8" spans="1:2" ht="37.5" x14ac:dyDescent="0.25">
      <c r="B8" s="5" t="s">
        <v>72</v>
      </c>
    </row>
    <row r="9" spans="1:2" ht="25" x14ac:dyDescent="0.25">
      <c r="B9" s="5" t="s">
        <v>73</v>
      </c>
    </row>
    <row r="11" spans="1:2" s="10" customFormat="1" ht="13.5" thickBot="1" x14ac:dyDescent="0.35">
      <c r="A11" s="12">
        <v>2</v>
      </c>
      <c r="B11" s="9" t="s">
        <v>59</v>
      </c>
    </row>
    <row r="12" spans="1:2" ht="25" x14ac:dyDescent="0.25">
      <c r="B12" s="6" t="s">
        <v>74</v>
      </c>
    </row>
    <row r="13" spans="1:2" x14ac:dyDescent="0.25">
      <c r="B13" s="6" t="s">
        <v>75</v>
      </c>
    </row>
    <row r="15" spans="1:2" s="8" customFormat="1" ht="13.5" thickBot="1" x14ac:dyDescent="0.35">
      <c r="A15" s="12">
        <v>3</v>
      </c>
      <c r="B15" s="9" t="s">
        <v>60</v>
      </c>
    </row>
    <row r="16" spans="1:2" ht="25" x14ac:dyDescent="0.25">
      <c r="B16" s="6" t="s">
        <v>61</v>
      </c>
    </row>
    <row r="18" spans="1:2" s="10" customFormat="1" ht="13.5" thickBot="1" x14ac:dyDescent="0.35">
      <c r="A18" s="12">
        <v>4</v>
      </c>
      <c r="B18" s="9" t="s">
        <v>62</v>
      </c>
    </row>
    <row r="19" spans="1:2" ht="37.5" x14ac:dyDescent="0.25">
      <c r="B19" s="6" t="s">
        <v>76</v>
      </c>
    </row>
    <row r="20" spans="1:2" x14ac:dyDescent="0.25">
      <c r="B20" s="6" t="s">
        <v>79</v>
      </c>
    </row>
    <row r="22" spans="1:2" s="8" customFormat="1" ht="13.5" thickBot="1" x14ac:dyDescent="0.35">
      <c r="A22" s="12">
        <v>5</v>
      </c>
      <c r="B22" s="9" t="s">
        <v>63</v>
      </c>
    </row>
    <row r="23" spans="1:2" ht="25" x14ac:dyDescent="0.25">
      <c r="B23" s="6" t="s">
        <v>92</v>
      </c>
    </row>
    <row r="24" spans="1:2" ht="25" x14ac:dyDescent="0.25">
      <c r="B24" s="6" t="s">
        <v>77</v>
      </c>
    </row>
    <row r="26" spans="1:2" s="10" customFormat="1" ht="13.5" thickBot="1" x14ac:dyDescent="0.35">
      <c r="A26" s="12">
        <v>6</v>
      </c>
      <c r="B26" s="9" t="s">
        <v>64</v>
      </c>
    </row>
    <row r="27" spans="1:2" ht="37.5" x14ac:dyDescent="0.25">
      <c r="B27" s="6" t="s">
        <v>78</v>
      </c>
    </row>
    <row r="28" spans="1:2" ht="37.5" x14ac:dyDescent="0.25">
      <c r="B28" s="6" t="s">
        <v>80</v>
      </c>
    </row>
    <row r="30" spans="1:2" s="10" customFormat="1" ht="13.5" thickBot="1" x14ac:dyDescent="0.35">
      <c r="A30" s="12">
        <v>7</v>
      </c>
      <c r="B30" s="9" t="s">
        <v>65</v>
      </c>
    </row>
    <row r="31" spans="1:2" ht="37.5" x14ac:dyDescent="0.25">
      <c r="B31" s="6" t="s">
        <v>81</v>
      </c>
    </row>
    <row r="32" spans="1:2" ht="37.5" x14ac:dyDescent="0.25">
      <c r="B32" s="6" t="s">
        <v>82</v>
      </c>
    </row>
    <row r="33" spans="1:2" ht="25" x14ac:dyDescent="0.25">
      <c r="B33" s="6" t="s">
        <v>93</v>
      </c>
    </row>
    <row r="34" spans="1:2" ht="37.5" x14ac:dyDescent="0.25">
      <c r="B34" s="6" t="s">
        <v>83</v>
      </c>
    </row>
    <row r="36" spans="1:2" s="10" customFormat="1" ht="13.5" thickBot="1" x14ac:dyDescent="0.35">
      <c r="A36" s="12">
        <v>8</v>
      </c>
      <c r="B36" s="9" t="s">
        <v>66</v>
      </c>
    </row>
    <row r="37" spans="1:2" ht="37.5" x14ac:dyDescent="0.25">
      <c r="B37" s="6" t="s">
        <v>84</v>
      </c>
    </row>
    <row r="38" spans="1:2" x14ac:dyDescent="0.25">
      <c r="B38" s="6" t="s">
        <v>85</v>
      </c>
    </row>
    <row r="40" spans="1:2" s="10" customFormat="1" ht="13.5" thickBot="1" x14ac:dyDescent="0.35">
      <c r="A40" s="12">
        <v>9</v>
      </c>
      <c r="B40" s="9" t="s">
        <v>67</v>
      </c>
    </row>
    <row r="41" spans="1:2" ht="50" x14ac:dyDescent="0.25">
      <c r="B41" s="6" t="s">
        <v>86</v>
      </c>
    </row>
    <row r="42" spans="1:2" x14ac:dyDescent="0.25">
      <c r="B42" s="6" t="s">
        <v>87</v>
      </c>
    </row>
    <row r="43" spans="1:2" ht="44.25" customHeight="1" x14ac:dyDescent="0.25">
      <c r="B43" s="6" t="s">
        <v>88</v>
      </c>
    </row>
    <row r="45" spans="1:2" s="10" customFormat="1" ht="13.5" thickBot="1" x14ac:dyDescent="0.35">
      <c r="A45" s="12">
        <v>10</v>
      </c>
      <c r="B45" s="9" t="s">
        <v>68</v>
      </c>
    </row>
    <row r="46" spans="1:2" ht="25" x14ac:dyDescent="0.25">
      <c r="B46" s="6" t="s">
        <v>89</v>
      </c>
    </row>
    <row r="47" spans="1:2" ht="25" x14ac:dyDescent="0.25">
      <c r="B47" s="6" t="s">
        <v>90</v>
      </c>
    </row>
    <row r="49" spans="1:2" s="10" customFormat="1" ht="13.5" thickBot="1" x14ac:dyDescent="0.35">
      <c r="A49" s="12">
        <v>11</v>
      </c>
      <c r="B49" s="9" t="s">
        <v>69</v>
      </c>
    </row>
    <row r="50" spans="1:2" ht="62.5" x14ac:dyDescent="0.25">
      <c r="B50" s="6" t="s">
        <v>91</v>
      </c>
    </row>
    <row r="52" spans="1:2" ht="25" x14ac:dyDescent="0.25">
      <c r="B52" s="6" t="s">
        <v>94</v>
      </c>
    </row>
  </sheetData>
  <phoneticPr fontId="0" type="noConversion"/>
  <pageMargins left="0.69" right="0.23" top="0.77" bottom="0.93" header="0.42" footer="0.38"/>
  <pageSetup paperSize="9" orientation="portrait" verticalDpi="300" r:id="rId1"/>
  <headerFooter alignWithMargins="0">
    <oddFooter>&amp;L&amp;"Arial,Italic"&amp;8Appendix: Explanations To be used in conjunction with the Spreadsheet on Zakat Calculator&amp;RPage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Calculations</vt:lpstr>
      <vt:lpstr>Sheet1</vt:lpstr>
      <vt:lpstr>Summary and Instructions</vt:lpstr>
      <vt:lpstr>Calculations!Print_Area</vt:lpstr>
      <vt:lpstr>Calculations!Print_Titles</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Systems</dc:creator>
  <cp:lastModifiedBy>Taufeeq Ahmed</cp:lastModifiedBy>
  <cp:lastPrinted>2001-11-12T13:02:25Z</cp:lastPrinted>
  <dcterms:created xsi:type="dcterms:W3CDTF">2001-11-05T08:01:19Z</dcterms:created>
  <dcterms:modified xsi:type="dcterms:W3CDTF">2026-02-26T18:38:13Z</dcterms:modified>
</cp:coreProperties>
</file>